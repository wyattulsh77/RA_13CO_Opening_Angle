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ec27ee37918cd46/Desktop/Research Assistance/"/>
    </mc:Choice>
  </mc:AlternateContent>
  <xr:revisionPtr revIDLastSave="2022" documentId="11_F25DC773A252ABDACC1048DE219D668A5BDE58E9" xr6:coauthVersionLast="47" xr6:coauthVersionMax="47" xr10:uidLastSave="{CD202A2F-DB8F-4DE3-8EB2-27ADB8E1A9B1}"/>
  <bookViews>
    <workbookView xWindow="0" yWindow="300" windowWidth="19380" windowHeight="14535" activeTab="1" xr2:uid="{00000000-000D-0000-FFFF-FFFF00000000}"/>
  </bookViews>
  <sheets>
    <sheet name="Sheet1" sheetId="1" r:id="rId1"/>
    <sheet name="Final Measurements" sheetId="3" r:id="rId2"/>
    <sheet name="Robust-1" sheetId="2" r:id="rId3"/>
  </sheets>
  <definedNames>
    <definedName name="_xlchart.v1.0" hidden="1">Sheet1!$AO$2:$AO$13</definedName>
    <definedName name="_xlchart.v1.1" hidden="1">Sheet1!$AO$2:$AO$13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" i="1" l="1"/>
  <c r="AO12" i="1"/>
  <c r="AO13" i="1"/>
  <c r="AO3" i="1"/>
  <c r="AO4" i="1"/>
  <c r="AO5" i="1"/>
  <c r="AO7" i="1"/>
  <c r="AO8" i="1"/>
  <c r="AO9" i="1"/>
  <c r="AO2" i="1"/>
  <c r="AQ3" i="1" l="1"/>
  <c r="AQ6" i="1"/>
</calcChain>
</file>

<file path=xl/sharedStrings.xml><?xml version="1.0" encoding="utf-8"?>
<sst xmlns="http://schemas.openxmlformats.org/spreadsheetml/2006/main" count="940" uniqueCount="173">
  <si>
    <t>Red</t>
  </si>
  <si>
    <t>Blue</t>
  </si>
  <si>
    <t>Combined</t>
  </si>
  <si>
    <t>Notes</t>
  </si>
  <si>
    <t>Ranges removed</t>
  </si>
  <si>
    <t>Angle</t>
  </si>
  <si>
    <t>Uncertainty</t>
  </si>
  <si>
    <t>Low Shift</t>
  </si>
  <si>
    <t>Up Shift</t>
  </si>
  <si>
    <t>Per1</t>
  </si>
  <si>
    <t>Per5</t>
  </si>
  <si>
    <t>Per6</t>
  </si>
  <si>
    <t>Per7</t>
  </si>
  <si>
    <t>Per9</t>
  </si>
  <si>
    <t>Per11</t>
  </si>
  <si>
    <t>Per13</t>
  </si>
  <si>
    <t>-30 to 24</t>
  </si>
  <si>
    <t xml:space="preserve">Per2 </t>
  </si>
  <si>
    <t>Per15</t>
  </si>
  <si>
    <t>Per16</t>
  </si>
  <si>
    <t>Per19</t>
  </si>
  <si>
    <t>-33 to 12</t>
  </si>
  <si>
    <t>Per20</t>
  </si>
  <si>
    <t>-36 to 39</t>
  </si>
  <si>
    <t>THIS IS SUBSTANITALLY WIDER THAN THE 12 CO</t>
  </si>
  <si>
    <t>Per23</t>
  </si>
  <si>
    <t>Per25</t>
  </si>
  <si>
    <t>Velocities too close to source</t>
  </si>
  <si>
    <r>
      <t xml:space="preserve">Red has no data, talk to dunham about red image </t>
    </r>
    <r>
      <rPr>
        <b/>
        <sz val="11"/>
        <color theme="1"/>
        <rFont val="Calibri"/>
        <family val="2"/>
        <scheme val="minor"/>
      </rPr>
      <t>IGNORE FOR NOW</t>
    </r>
  </si>
  <si>
    <t>-24 to 15</t>
  </si>
  <si>
    <t>Per26</t>
  </si>
  <si>
    <t>3.3 to 3.9</t>
  </si>
  <si>
    <t>6.3 to 9.3</t>
  </si>
  <si>
    <t>Blue looks like it should be useable but is not, red is much narrower than blue (talk to Dunham)</t>
  </si>
  <si>
    <t>4.5 to 6.6</t>
  </si>
  <si>
    <t>9.6 to 10.8</t>
  </si>
  <si>
    <t>Per27</t>
  </si>
  <si>
    <t>Blue image suggests entirely different outflow angle (Talk to Dunham)</t>
  </si>
  <si>
    <t>Per29</t>
  </si>
  <si>
    <t>~~~</t>
  </si>
  <si>
    <t>4.8 to 6</t>
  </si>
  <si>
    <t>Blue also suggests different outflow angle</t>
  </si>
  <si>
    <t>Per30</t>
  </si>
  <si>
    <t>5.8 to 6.7</t>
  </si>
  <si>
    <t>Per31</t>
  </si>
  <si>
    <t>8.1 is only frame</t>
  </si>
  <si>
    <t>Per34</t>
  </si>
  <si>
    <t>4.9 to 5.5</t>
  </si>
  <si>
    <t>Per36</t>
  </si>
  <si>
    <t>Appears to be almos 180 degrees</t>
  </si>
  <si>
    <t>Per40</t>
  </si>
  <si>
    <t>-18 to 6</t>
  </si>
  <si>
    <t>Per3</t>
  </si>
  <si>
    <t>-21 to 21</t>
  </si>
  <si>
    <t>Unuseable</t>
  </si>
  <si>
    <t>-12 to 6</t>
  </si>
  <si>
    <t>Per10</t>
  </si>
  <si>
    <t>Non-exsistent</t>
  </si>
  <si>
    <t>-18 to 33</t>
  </si>
  <si>
    <t>-12 to 12</t>
  </si>
  <si>
    <t>Per41</t>
  </si>
  <si>
    <t>8.4 to 8.7</t>
  </si>
  <si>
    <t>Per44</t>
  </si>
  <si>
    <t>6.5 to 7.1</t>
  </si>
  <si>
    <t>Per46</t>
  </si>
  <si>
    <t>4.5 to 4.8</t>
  </si>
  <si>
    <t>-24 to 24</t>
  </si>
  <si>
    <t>Position Angle</t>
  </si>
  <si>
    <t>Cut Radius</t>
  </si>
  <si>
    <t>Threshhold Value</t>
  </si>
  <si>
    <t>Very lop-sided gaussian, talk to Dunham about this</t>
  </si>
  <si>
    <t>-24 to 30</t>
  </si>
  <si>
    <t>-30 to 30</t>
  </si>
  <si>
    <t>5.0 Arcsec</t>
  </si>
  <si>
    <t>The object does not appear to be centered at coordinates TALK TO DUNHAM</t>
  </si>
  <si>
    <t>-24 to 39</t>
  </si>
  <si>
    <t>-45 to -39</t>
  </si>
  <si>
    <t>Per47</t>
  </si>
  <si>
    <t>Per48</t>
  </si>
  <si>
    <t>Per49</t>
  </si>
  <si>
    <t>Per50</t>
  </si>
  <si>
    <t>Per51</t>
  </si>
  <si>
    <t>Per52</t>
  </si>
  <si>
    <t>~~~~~</t>
  </si>
  <si>
    <t>10.8 - 11.4</t>
  </si>
  <si>
    <t>Per53</t>
  </si>
  <si>
    <t>-30 to 33</t>
  </si>
  <si>
    <t>-54 to -39</t>
  </si>
  <si>
    <t>Per54</t>
  </si>
  <si>
    <t>Per56</t>
  </si>
  <si>
    <t>Per57</t>
  </si>
  <si>
    <t>Per58</t>
  </si>
  <si>
    <t>Per59</t>
  </si>
  <si>
    <t>Per60</t>
  </si>
  <si>
    <t>Per61</t>
  </si>
  <si>
    <t>Per62</t>
  </si>
  <si>
    <t>Per63</t>
  </si>
  <si>
    <t>Per64</t>
  </si>
  <si>
    <t>Per65</t>
  </si>
  <si>
    <t>Maybe soemthing here?</t>
  </si>
  <si>
    <t>Per66</t>
  </si>
  <si>
    <t>Per21</t>
  </si>
  <si>
    <t>-51 to 42</t>
  </si>
  <si>
    <t>4.6 - 5.8</t>
  </si>
  <si>
    <t>~~~~</t>
  </si>
  <si>
    <t>This may work with an additive pixel map tool</t>
  </si>
  <si>
    <t>9.9 to 11.1</t>
  </si>
  <si>
    <t>-36 to 36</t>
  </si>
  <si>
    <t>1.0 - 6.5</t>
  </si>
  <si>
    <t>10.5-15.5</t>
  </si>
  <si>
    <t>-6 to 12</t>
  </si>
  <si>
    <t>-6 to 15</t>
  </si>
  <si>
    <t>Per2</t>
  </si>
  <si>
    <t>-18 to 18</t>
  </si>
  <si>
    <t>-18 to 15</t>
  </si>
  <si>
    <t>-15 to 15</t>
  </si>
  <si>
    <t>Source</t>
  </si>
  <si>
    <t>Per 1</t>
  </si>
  <si>
    <t>+-</t>
  </si>
  <si>
    <t>Per 2</t>
  </si>
  <si>
    <t>Per 5</t>
  </si>
  <si>
    <t>Per 9</t>
  </si>
  <si>
    <t>Per 19</t>
  </si>
  <si>
    <t>Per 20</t>
  </si>
  <si>
    <t>Per 26</t>
  </si>
  <si>
    <t>-33 to 27</t>
  </si>
  <si>
    <t>Per 30</t>
  </si>
  <si>
    <t>Per 46</t>
  </si>
  <si>
    <t>Per 53</t>
  </si>
  <si>
    <t>T Bol</t>
  </si>
  <si>
    <t>13CO</t>
  </si>
  <si>
    <t>12CO (From Dunham et al. 2024)</t>
  </si>
  <si>
    <t>Mean</t>
  </si>
  <si>
    <t>St Dev</t>
  </si>
  <si>
    <t>B1bN</t>
  </si>
  <si>
    <t>Outflow looks like it is at an entirely different angle</t>
  </si>
  <si>
    <t>L1448</t>
  </si>
  <si>
    <t>6600 - 8100</t>
  </si>
  <si>
    <t>Don't know what this is</t>
  </si>
  <si>
    <t>PerBolo45</t>
  </si>
  <si>
    <t>PerBolo58</t>
  </si>
  <si>
    <t>SVS13C</t>
  </si>
  <si>
    <t>Per17</t>
  </si>
  <si>
    <t>3.3 - 4.5</t>
  </si>
  <si>
    <t>-27 to 33</t>
  </si>
  <si>
    <t>Per33(B)</t>
  </si>
  <si>
    <t>Per33(NW)</t>
  </si>
  <si>
    <t>6.3-6.9</t>
  </si>
  <si>
    <t>0.8 (should be .12)</t>
  </si>
  <si>
    <t>Had to fill pixel map</t>
  </si>
  <si>
    <t>9.6 - 10.8</t>
  </si>
  <si>
    <t>Central</t>
  </si>
  <si>
    <t>7.2 - 7.8</t>
  </si>
  <si>
    <t>8.7 - 9.6</t>
  </si>
  <si>
    <t>Threshold Value</t>
  </si>
  <si>
    <t>Opening Angle</t>
  </si>
  <si>
    <t>Upper Shift</t>
  </si>
  <si>
    <t>Lower Shift</t>
  </si>
  <si>
    <t>Low Velocity</t>
  </si>
  <si>
    <t>High Velocity</t>
  </si>
  <si>
    <t>Robust -1</t>
  </si>
  <si>
    <t>Robust +1</t>
  </si>
  <si>
    <t>Source Velocity</t>
  </si>
  <si>
    <t xml:space="preserve">Red </t>
  </si>
  <si>
    <t>Ranges Removed</t>
  </si>
  <si>
    <t>-30 to 27</t>
  </si>
  <si>
    <t>Red threshold is 0.03 higher than 3 sigma, red is too wide to use</t>
  </si>
  <si>
    <t>Per 11</t>
  </si>
  <si>
    <t>Red threshold is .10 higher than it should be</t>
  </si>
  <si>
    <t>-21 to 18</t>
  </si>
  <si>
    <t>Per 17</t>
  </si>
  <si>
    <t>Blue threshold should be 0.18 according to rms</t>
  </si>
  <si>
    <t>Red should be 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</si>
</sst>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2" fillId="0" borderId="4" xfId="0" applyFont="1" applyBorder="1"/>
    <xf numFmtId="0" fontId="3" fillId="0" borderId="4" xfId="0" applyFont="1" applyBorder="1"/>
    <xf numFmtId="0" fontId="0" fillId="0" borderId="6" xfId="0" applyBorder="1"/>
    <xf numFmtId="0" fontId="0" fillId="0" borderId="0" xfId="0" quotePrefix="1"/>
    <xf numFmtId="0" fontId="4" fillId="0" borderId="1" xfId="0" applyFont="1" applyBorder="1"/>
    <xf numFmtId="0" fontId="0" fillId="2" borderId="0" xfId="0" applyFill="1"/>
    <xf numFmtId="0" fontId="0" fillId="2" borderId="5" xfId="0" applyFill="1" applyBorder="1"/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3" borderId="0" xfId="0" applyFill="1"/>
    <xf numFmtId="0" fontId="0" fillId="3" borderId="5" xfId="0" applyFill="1" applyBorder="1"/>
    <xf numFmtId="0" fontId="0" fillId="0" borderId="4" xfId="0" applyBorder="1" applyAlignment="1">
      <alignment horizontal="center"/>
    </xf>
    <xf numFmtId="0" fontId="1" fillId="2" borderId="0" xfId="0" applyFont="1" applyFill="1"/>
    <xf numFmtId="0" fontId="1" fillId="2" borderId="5" xfId="0" applyFont="1" applyFill="1" applyBorder="1"/>
    <xf numFmtId="0" fontId="6" fillId="0" borderId="1" xfId="0" applyFont="1" applyBorder="1"/>
    <xf numFmtId="0" fontId="0" fillId="4" borderId="0" xfId="0" applyFill="1"/>
    <xf numFmtId="0" fontId="0" fillId="4" borderId="5" xfId="0" applyFill="1" applyBorder="1"/>
    <xf numFmtId="0" fontId="0" fillId="4" borderId="0" xfId="0" quotePrefix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4" borderId="0" xfId="0" applyFont="1" applyFill="1"/>
    <xf numFmtId="0" fontId="1" fillId="4" borderId="5" xfId="0" applyFont="1" applyFill="1" applyBorder="1"/>
    <xf numFmtId="0" fontId="1" fillId="4" borderId="0" xfId="0" quotePrefix="1" applyFont="1" applyFill="1"/>
    <xf numFmtId="0" fontId="4" fillId="0" borderId="2" xfId="0" applyFont="1" applyBorder="1"/>
    <xf numFmtId="0" fontId="0" fillId="0" borderId="7" xfId="0" applyBorder="1"/>
    <xf numFmtId="0" fontId="6" fillId="0" borderId="2" xfId="0" applyFont="1" applyBorder="1"/>
    <xf numFmtId="0" fontId="0" fillId="0" borderId="0" xfId="0" applyAlignment="1">
      <alignment horizontal="center"/>
    </xf>
    <xf numFmtId="0" fontId="7" fillId="0" borderId="2" xfId="0" applyFont="1" applyBorder="1"/>
    <xf numFmtId="0" fontId="2" fillId="0" borderId="0" xfId="0" applyFont="1" applyAlignment="1">
      <alignment horizontal="right"/>
    </xf>
    <xf numFmtId="0" fontId="5" fillId="0" borderId="0" xfId="0" applyFont="1"/>
    <xf numFmtId="0" fontId="8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2" xfId="0" applyFont="1" applyBorder="1"/>
    <xf numFmtId="0" fontId="9" fillId="0" borderId="12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9" xfId="0" applyFont="1" applyBorder="1"/>
    <xf numFmtId="0" fontId="1" fillId="5" borderId="0" xfId="0" applyFont="1" applyFill="1"/>
    <xf numFmtId="0" fontId="1" fillId="5" borderId="13" xfId="0" applyFont="1" applyFill="1" applyBorder="1"/>
    <xf numFmtId="0" fontId="9" fillId="0" borderId="0" xfId="0" applyFont="1"/>
    <xf numFmtId="164" fontId="0" fillId="0" borderId="0" xfId="0" applyNumberFormat="1"/>
    <xf numFmtId="0" fontId="0" fillId="6" borderId="0" xfId="0" applyFill="1"/>
    <xf numFmtId="0" fontId="0" fillId="6" borderId="13" xfId="0" applyFill="1" applyBorder="1"/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Bolometric Temperature vs. Opening Angle</a:t>
            </a:r>
            <a:r>
              <a:rPr lang="en-US" baseline="0"/>
              <a:t> in </a:t>
            </a:r>
            <a:r>
              <a:rPr lang="en-US" baseline="30000"/>
              <a:t>13</a:t>
            </a:r>
            <a:r>
              <a:rPr lang="en-US" baseline="0"/>
              <a:t>CO and </a:t>
            </a:r>
            <a:r>
              <a:rPr lang="en-US" baseline="30000"/>
              <a:t>12</a:t>
            </a:r>
            <a:r>
              <a:rPr lang="en-US" baseline="0"/>
              <a:t>CO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Sheet1!$AI$1</c:f>
              <c:strCache>
                <c:ptCount val="1"/>
                <c:pt idx="0">
                  <c:v>13CO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5875">
                <a:solidFill>
                  <a:schemeClr val="accent2"/>
                </a:solidFill>
              </a:ln>
              <a:effectLst/>
            </c:spPr>
          </c:marker>
          <c:xVal>
            <c:numRef>
              <c:f>Sheet1!$AH$2:$AH$13</c:f>
              <c:numCache>
                <c:formatCode>General</c:formatCode>
                <c:ptCount val="12"/>
                <c:pt idx="0">
                  <c:v>24.1</c:v>
                </c:pt>
                <c:pt idx="1">
                  <c:v>30.9</c:v>
                </c:pt>
                <c:pt idx="2">
                  <c:v>35.9</c:v>
                </c:pt>
                <c:pt idx="3">
                  <c:v>37.9</c:v>
                </c:pt>
                <c:pt idx="5">
                  <c:v>59.5</c:v>
                </c:pt>
                <c:pt idx="6">
                  <c:v>62.1</c:v>
                </c:pt>
                <c:pt idx="7">
                  <c:v>41.9</c:v>
                </c:pt>
                <c:pt idx="9">
                  <c:v>96.9</c:v>
                </c:pt>
                <c:pt idx="10">
                  <c:v>228.6</c:v>
                </c:pt>
                <c:pt idx="11">
                  <c:v>275.39999999999998</c:v>
                </c:pt>
              </c:numCache>
            </c:numRef>
          </c:xVal>
          <c:yVal>
            <c:numRef>
              <c:f>Sheet1!$AI$2:$AI$13</c:f>
              <c:numCache>
                <c:formatCode>General</c:formatCode>
                <c:ptCount val="12"/>
                <c:pt idx="0">
                  <c:v>41</c:v>
                </c:pt>
                <c:pt idx="1">
                  <c:v>54</c:v>
                </c:pt>
                <c:pt idx="2">
                  <c:v>56</c:v>
                </c:pt>
                <c:pt idx="3">
                  <c:v>43</c:v>
                </c:pt>
                <c:pt idx="5">
                  <c:v>48</c:v>
                </c:pt>
                <c:pt idx="6">
                  <c:v>92</c:v>
                </c:pt>
                <c:pt idx="7">
                  <c:v>64</c:v>
                </c:pt>
                <c:pt idx="9">
                  <c:v>102</c:v>
                </c:pt>
                <c:pt idx="10">
                  <c:v>65</c:v>
                </c:pt>
                <c:pt idx="11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6E-4D7C-9FBD-1C6DBE7AA897}"/>
            </c:ext>
          </c:extLst>
        </c:ser>
        <c:ser>
          <c:idx val="1"/>
          <c:order val="1"/>
          <c:tx>
            <c:strRef>
              <c:f>Sheet1!$AL$1</c:f>
              <c:strCache>
                <c:ptCount val="1"/>
                <c:pt idx="0">
                  <c:v>12CO (From Dunham et al. 2024)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xVal>
            <c:numRef>
              <c:f>Sheet1!$AH$2:$AH$13</c:f>
              <c:numCache>
                <c:formatCode>General</c:formatCode>
                <c:ptCount val="12"/>
                <c:pt idx="0">
                  <c:v>24.1</c:v>
                </c:pt>
                <c:pt idx="1">
                  <c:v>30.9</c:v>
                </c:pt>
                <c:pt idx="2">
                  <c:v>35.9</c:v>
                </c:pt>
                <c:pt idx="3">
                  <c:v>37.9</c:v>
                </c:pt>
                <c:pt idx="5">
                  <c:v>59.5</c:v>
                </c:pt>
                <c:pt idx="6">
                  <c:v>62.1</c:v>
                </c:pt>
                <c:pt idx="7">
                  <c:v>41.9</c:v>
                </c:pt>
                <c:pt idx="9">
                  <c:v>96.9</c:v>
                </c:pt>
                <c:pt idx="10">
                  <c:v>228.6</c:v>
                </c:pt>
                <c:pt idx="11">
                  <c:v>275.39999999999998</c:v>
                </c:pt>
              </c:numCache>
            </c:numRef>
          </c:xVal>
          <c:yVal>
            <c:numRef>
              <c:f>Sheet1!$AL$2:$AL$13</c:f>
              <c:numCache>
                <c:formatCode>General</c:formatCode>
                <c:ptCount val="12"/>
                <c:pt idx="0">
                  <c:v>31</c:v>
                </c:pt>
                <c:pt idx="1">
                  <c:v>40</c:v>
                </c:pt>
                <c:pt idx="2">
                  <c:v>50</c:v>
                </c:pt>
                <c:pt idx="3">
                  <c:v>31</c:v>
                </c:pt>
                <c:pt idx="5">
                  <c:v>73</c:v>
                </c:pt>
                <c:pt idx="6">
                  <c:v>57</c:v>
                </c:pt>
                <c:pt idx="7">
                  <c:v>40</c:v>
                </c:pt>
                <c:pt idx="9">
                  <c:v>107</c:v>
                </c:pt>
                <c:pt idx="10">
                  <c:v>79</c:v>
                </c:pt>
                <c:pt idx="1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6E-4D7C-9FBD-1C6DBE7A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850400"/>
        <c:axId val="1415849440"/>
      </c:scatterChart>
      <c:valAx>
        <c:axId val="1415850400"/>
        <c:scaling>
          <c:logBase val="10"/>
          <c:orientation val="minMax"/>
          <c:max val="500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Bolometric</a:t>
                </a:r>
                <a:r>
                  <a:rPr lang="en-US" baseline="0"/>
                  <a:t> Temperature (Kelvin, Logarithmic)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49440"/>
        <c:crosses val="autoZero"/>
        <c:crossBetween val="midCat"/>
      </c:valAx>
      <c:valAx>
        <c:axId val="14158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Opening</a:t>
                </a:r>
                <a:r>
                  <a:rPr lang="en-US" baseline="0"/>
                  <a:t> Angle (Degrees)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5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3-7742-43E7-AA5B-7FFF16E086AE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Difference in Opening Angle (</a:t>
            </a:r>
            <a:r>
              <a:rPr lang="en-US" sz="1800" b="1" i="0" u="none" strike="noStrike" baseline="3000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13</a:t>
            </a:r>
            <a:r>
              <a:rPr lang="en-US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CO - </a:t>
            </a:r>
            <a:r>
              <a:rPr lang="en-US" sz="1800" b="1" i="0" u="none" strike="noStrike" baseline="3000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12</a:t>
            </a:r>
            <a:r>
              <a:rPr lang="en-US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CO)</a:t>
            </a:r>
          </a:p>
        </cx:rich>
      </cx:tx>
    </cx:title>
    <cx:plotArea>
      <cx:plotAreaRegion>
        <cx:series layoutId="clusteredColumn" uniqueId="{C767CBCD-229D-404A-897C-7BFB2B9B9BE5}">
          <cx:dataLabels pos="inEnd">
            <cx:visibility seriesName="0" categoryName="0" value="1"/>
            <cx:separator>, </cx:separator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.0900000036"/>
        <cx:tickLabels/>
        <cx:numFmt formatCode="General" sourceLinked="0"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png"/><Relationship Id="rId18" Type="http://schemas.openxmlformats.org/officeDocument/2006/relationships/customXml" Target="../ink/ink8.xml"/><Relationship Id="rId26" Type="http://schemas.openxmlformats.org/officeDocument/2006/relationships/customXml" Target="../ink/ink12.xml"/><Relationship Id="rId3" Type="http://schemas.microsoft.com/office/2014/relationships/chartEx" Target="../charts/chartEx2.xml"/><Relationship Id="rId21" Type="http://schemas.openxmlformats.org/officeDocument/2006/relationships/image" Target="../media/image9.png"/><Relationship Id="rId7" Type="http://schemas.openxmlformats.org/officeDocument/2006/relationships/image" Target="../media/image2.png"/><Relationship Id="rId12" Type="http://schemas.openxmlformats.org/officeDocument/2006/relationships/customXml" Target="../ink/ink5.xml"/><Relationship Id="rId17" Type="http://schemas.openxmlformats.org/officeDocument/2006/relationships/image" Target="../media/image7.png"/><Relationship Id="rId25" Type="http://schemas.openxmlformats.org/officeDocument/2006/relationships/image" Target="../media/image11.png"/><Relationship Id="rId33" Type="http://schemas.openxmlformats.org/officeDocument/2006/relationships/image" Target="../media/image15.png"/><Relationship Id="rId2" Type="http://schemas.microsoft.com/office/2014/relationships/chartEx" Target="../charts/chartEx1.xml"/><Relationship Id="rId16" Type="http://schemas.openxmlformats.org/officeDocument/2006/relationships/customXml" Target="../ink/ink7.xml"/><Relationship Id="rId20" Type="http://schemas.openxmlformats.org/officeDocument/2006/relationships/customXml" Target="../ink/ink9.xml"/><Relationship Id="rId29" Type="http://schemas.openxmlformats.org/officeDocument/2006/relationships/image" Target="../media/image13.png"/><Relationship Id="rId1" Type="http://schemas.openxmlformats.org/officeDocument/2006/relationships/chart" Target="../charts/chart1.xml"/><Relationship Id="rId6" Type="http://schemas.openxmlformats.org/officeDocument/2006/relationships/customXml" Target="../ink/ink2.xml"/><Relationship Id="rId11" Type="http://schemas.openxmlformats.org/officeDocument/2006/relationships/image" Target="../media/image4.png"/><Relationship Id="rId24" Type="http://schemas.openxmlformats.org/officeDocument/2006/relationships/customXml" Target="../ink/ink11.xml"/><Relationship Id="rId32" Type="http://schemas.openxmlformats.org/officeDocument/2006/relationships/customXml" Target="../ink/ink15.xml"/><Relationship Id="rId5" Type="http://schemas.openxmlformats.org/officeDocument/2006/relationships/image" Target="../media/image1.png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28" Type="http://schemas.openxmlformats.org/officeDocument/2006/relationships/customXml" Target="../ink/ink13.xml"/><Relationship Id="rId10" Type="http://schemas.openxmlformats.org/officeDocument/2006/relationships/customXml" Target="../ink/ink4.xml"/><Relationship Id="rId19" Type="http://schemas.openxmlformats.org/officeDocument/2006/relationships/image" Target="../media/image8.png"/><Relationship Id="rId31" Type="http://schemas.openxmlformats.org/officeDocument/2006/relationships/image" Target="../media/image14.png"/><Relationship Id="rId4" Type="http://schemas.openxmlformats.org/officeDocument/2006/relationships/customXml" Target="../ink/ink1.xml"/><Relationship Id="rId9" Type="http://schemas.openxmlformats.org/officeDocument/2006/relationships/image" Target="../media/image3.png"/><Relationship Id="rId14" Type="http://schemas.openxmlformats.org/officeDocument/2006/relationships/customXml" Target="../ink/ink6.xml"/><Relationship Id="rId22" Type="http://schemas.openxmlformats.org/officeDocument/2006/relationships/customXml" Target="../ink/ink10.xml"/><Relationship Id="rId27" Type="http://schemas.openxmlformats.org/officeDocument/2006/relationships/image" Target="../media/image12.png"/><Relationship Id="rId30" Type="http://schemas.openxmlformats.org/officeDocument/2006/relationships/customXml" Target="../ink/ink14.xml"/><Relationship Id="rId8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418751</xdr:colOff>
      <xdr:row>14</xdr:row>
      <xdr:rowOff>83304</xdr:rowOff>
    </xdr:from>
    <xdr:to>
      <xdr:col>41</xdr:col>
      <xdr:colOff>628007</xdr:colOff>
      <xdr:row>35</xdr:row>
      <xdr:rowOff>163332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EFFEB0-0F41-FE16-2187-31B3AC827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41131</xdr:colOff>
      <xdr:row>0</xdr:row>
      <xdr:rowOff>215900</xdr:rowOff>
    </xdr:from>
    <xdr:to>
      <xdr:col>53</xdr:col>
      <xdr:colOff>252557</xdr:colOff>
      <xdr:row>16</xdr:row>
      <xdr:rowOff>72160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EA610E7-70C9-5C5D-C187-3C4F4CAE0E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97931" y="215900"/>
              <a:ext cx="5697826" cy="2980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33916</xdr:colOff>
      <xdr:row>16</xdr:row>
      <xdr:rowOff>100447</xdr:rowOff>
    </xdr:from>
    <xdr:to>
      <xdr:col>54</xdr:col>
      <xdr:colOff>278621</xdr:colOff>
      <xdr:row>33</xdr:row>
      <xdr:rowOff>55000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C5634F6-BA68-6C6B-2FD5-E73A630C78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90716" y="3224647"/>
              <a:ext cx="6340705" cy="3180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48</xdr:col>
      <xdr:colOff>253083</xdr:colOff>
      <xdr:row>18</xdr:row>
      <xdr:rowOff>82054</xdr:rowOff>
    </xdr:from>
    <xdr:to>
      <xdr:col>48</xdr:col>
      <xdr:colOff>263328</xdr:colOff>
      <xdr:row>32</xdr:row>
      <xdr:rowOff>23149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957BBDA-6321-FACC-479B-D70B191E58FC}"/>
                </a:ext>
              </a:extLst>
            </xdr14:cNvPr>
            <xdr14:cNvContentPartPr/>
          </xdr14:nvContentPartPr>
          <xdr14:nvPr macro=""/>
          <xdr14:xfrm>
            <a:off x="37809485" y="3555312"/>
            <a:ext cx="720" cy="2601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957BBDA-6321-FACC-479B-D70B191E58F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7797245" y="3549239"/>
              <a:ext cx="25200" cy="26135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296283</xdr:colOff>
      <xdr:row>18</xdr:row>
      <xdr:rowOff>156574</xdr:rowOff>
    </xdr:from>
    <xdr:to>
      <xdr:col>48</xdr:col>
      <xdr:colOff>377153</xdr:colOff>
      <xdr:row>19</xdr:row>
      <xdr:rowOff>72051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906ED51-7B00-B592-0292-3DAD92EA2FAE}"/>
                </a:ext>
              </a:extLst>
            </xdr14:cNvPr>
            <xdr14:cNvContentPartPr/>
          </xdr14:nvContentPartPr>
          <xdr14:nvPr macro=""/>
          <xdr14:xfrm>
            <a:off x="37852685" y="3629832"/>
            <a:ext cx="74520" cy="982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906ED51-7B00-B592-0292-3DAD92EA2FA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7846565" y="3623712"/>
              <a:ext cx="8676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840092</xdr:colOff>
      <xdr:row>25</xdr:row>
      <xdr:rowOff>85480</xdr:rowOff>
    </xdr:from>
    <xdr:to>
      <xdr:col>33</xdr:col>
      <xdr:colOff>840812</xdr:colOff>
      <xdr:row>27</xdr:row>
      <xdr:rowOff>53824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8AF7B65-667D-1D9E-01DE-7EE559BD72FF}"/>
                </a:ext>
              </a:extLst>
            </xdr14:cNvPr>
            <xdr14:cNvContentPartPr/>
          </xdr14:nvContentPartPr>
          <xdr14:nvPr macro=""/>
          <xdr14:xfrm>
            <a:off x="27591872" y="4939382"/>
            <a:ext cx="720" cy="327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8AF7B65-667D-1D9E-01DE-7EE559BD72F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579632" y="4933262"/>
              <a:ext cx="25200" cy="33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467492</xdr:colOff>
      <xdr:row>27</xdr:row>
      <xdr:rowOff>30194</xdr:rowOff>
    </xdr:from>
    <xdr:to>
      <xdr:col>33</xdr:col>
      <xdr:colOff>479732</xdr:colOff>
      <xdr:row>28</xdr:row>
      <xdr:rowOff>74191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7FDE3DC-4C39-3C41-5910-AA9AC77B703A}"/>
                </a:ext>
              </a:extLst>
            </xdr14:cNvPr>
            <xdr14:cNvContentPartPr/>
          </xdr14:nvContentPartPr>
          <xdr14:nvPr macro=""/>
          <xdr14:xfrm>
            <a:off x="27219272" y="5249702"/>
            <a:ext cx="12240" cy="2268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7FDE3DC-4C39-3C41-5910-AA9AC77B703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7213152" y="5243582"/>
              <a:ext cx="2448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1077332</xdr:colOff>
      <xdr:row>25</xdr:row>
      <xdr:rowOff>27160</xdr:rowOff>
    </xdr:from>
    <xdr:to>
      <xdr:col>33</xdr:col>
      <xdr:colOff>1084042</xdr:colOff>
      <xdr:row>25</xdr:row>
      <xdr:rowOff>33870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63AE141-8E32-5AC2-44B7-9E8AC35B91D8}"/>
                </a:ext>
              </a:extLst>
            </xdr14:cNvPr>
            <xdr14:cNvContentPartPr/>
          </xdr14:nvContentPartPr>
          <xdr14:nvPr macro=""/>
          <xdr14:xfrm>
            <a:off x="27829112" y="4881062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63AE141-8E32-5AC2-44B7-9E8AC35B91D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7822992" y="4874942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456153</xdr:colOff>
      <xdr:row>20</xdr:row>
      <xdr:rowOff>155126</xdr:rowOff>
    </xdr:from>
    <xdr:to>
      <xdr:col>34</xdr:col>
      <xdr:colOff>456873</xdr:colOff>
      <xdr:row>24</xdr:row>
      <xdr:rowOff>250312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783CD1D7-05F1-D20D-A3FA-8D1476A1F46C}"/>
                </a:ext>
              </a:extLst>
            </xdr14:cNvPr>
            <xdr14:cNvContentPartPr/>
          </xdr14:nvContentPartPr>
          <xdr14:nvPr macro=""/>
          <xdr14:xfrm>
            <a:off x="28636683" y="3993990"/>
            <a:ext cx="720" cy="8456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783CD1D7-05F1-D20D-A3FA-8D1476A1F46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624443" y="3987870"/>
              <a:ext cx="25200" cy="85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717996</xdr:colOff>
      <xdr:row>20</xdr:row>
      <xdr:rowOff>92486</xdr:rowOff>
    </xdr:from>
    <xdr:to>
      <xdr:col>37</xdr:col>
      <xdr:colOff>721956</xdr:colOff>
      <xdr:row>21</xdr:row>
      <xdr:rowOff>2563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E6EB38E6-ADAF-7EB5-A28C-09C8F0FA9911}"/>
                </a:ext>
              </a:extLst>
            </xdr14:cNvPr>
            <xdr14:cNvContentPartPr/>
          </xdr14:nvContentPartPr>
          <xdr14:nvPr macro=""/>
          <xdr14:xfrm>
            <a:off x="30856443" y="3931350"/>
            <a:ext cx="3960" cy="928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E6EB38E6-ADAF-7EB5-A28C-09C8F0FA991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850323" y="3925230"/>
              <a:ext cx="1620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440044</xdr:colOff>
      <xdr:row>22</xdr:row>
      <xdr:rowOff>122994</xdr:rowOff>
    </xdr:from>
    <xdr:to>
      <xdr:col>37</xdr:col>
      <xdr:colOff>440764</xdr:colOff>
      <xdr:row>24</xdr:row>
      <xdr:rowOff>36357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8EE0710-ACB4-DEA4-90E9-DDB33CEF3F4A}"/>
                </a:ext>
              </a:extLst>
            </xdr14:cNvPr>
            <xdr14:cNvContentPartPr/>
          </xdr14:nvContentPartPr>
          <xdr14:nvPr macro=""/>
          <xdr14:xfrm>
            <a:off x="30578491" y="4337085"/>
            <a:ext cx="720" cy="2822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8EE0710-ACB4-DEA4-90E9-DDB33CEF3F4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572371" y="4330965"/>
              <a:ext cx="1296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149069</xdr:colOff>
      <xdr:row>18</xdr:row>
      <xdr:rowOff>164707</xdr:rowOff>
    </xdr:from>
    <xdr:to>
      <xdr:col>35</xdr:col>
      <xdr:colOff>154469</xdr:colOff>
      <xdr:row>19</xdr:row>
      <xdr:rowOff>72134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AEEB817-BD2E-9715-FC2F-AFC73C892E89}"/>
                </a:ext>
              </a:extLst>
            </xdr14:cNvPr>
            <xdr14:cNvContentPartPr/>
          </xdr14:nvContentPartPr>
          <xdr14:nvPr macro=""/>
          <xdr14:xfrm>
            <a:off x="29296531" y="3637965"/>
            <a:ext cx="5400" cy="838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AEEB817-BD2E-9715-FC2F-AFC73C892E8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290411" y="3631845"/>
              <a:ext cx="1764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389881</xdr:colOff>
      <xdr:row>23</xdr:row>
      <xdr:rowOff>111551</xdr:rowOff>
    </xdr:from>
    <xdr:to>
      <xdr:col>34</xdr:col>
      <xdr:colOff>396656</xdr:colOff>
      <xdr:row>26</xdr:row>
      <xdr:rowOff>16945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A2A6E35-27B8-6D9B-58B9-F24D36810516}"/>
                </a:ext>
              </a:extLst>
            </xdr14:cNvPr>
            <xdr14:cNvContentPartPr/>
          </xdr14:nvContentPartPr>
          <xdr14:nvPr macro=""/>
          <xdr14:xfrm>
            <a:off x="28570411" y="4508445"/>
            <a:ext cx="3600" cy="5356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A2A6E35-27B8-6D9B-58B9-F24D3681051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8564291" y="4502325"/>
              <a:ext cx="15840" cy="54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1053631</xdr:colOff>
      <xdr:row>25</xdr:row>
      <xdr:rowOff>51263</xdr:rowOff>
    </xdr:from>
    <xdr:to>
      <xdr:col>33</xdr:col>
      <xdr:colOff>1068031</xdr:colOff>
      <xdr:row>25</xdr:row>
      <xdr:rowOff>156743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3CF459B-D476-4761-6011-0A7928B21459}"/>
                </a:ext>
              </a:extLst>
            </xdr14:cNvPr>
            <xdr14:cNvContentPartPr/>
          </xdr14:nvContentPartPr>
          <xdr14:nvPr macro=""/>
          <xdr14:xfrm>
            <a:off x="27805411" y="4905165"/>
            <a:ext cx="14400" cy="1054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63CF459B-D476-4761-6011-0A7928B2145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799291" y="4899045"/>
              <a:ext cx="2664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1156231</xdr:colOff>
      <xdr:row>26</xdr:row>
      <xdr:rowOff>166180</xdr:rowOff>
    </xdr:from>
    <xdr:to>
      <xdr:col>33</xdr:col>
      <xdr:colOff>1160126</xdr:colOff>
      <xdr:row>26</xdr:row>
      <xdr:rowOff>169420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6100CC9-4CA8-945D-9FFA-AABB8A88E199}"/>
                </a:ext>
              </a:extLst>
            </xdr14:cNvPr>
            <xdr14:cNvContentPartPr/>
          </xdr14:nvContentPartPr>
          <xdr14:nvPr macro=""/>
          <xdr14:xfrm>
            <a:off x="27908011" y="5202885"/>
            <a:ext cx="720" cy="32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C6100CC9-4CA8-945D-9FFA-AABB8A88E19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7901891" y="5196765"/>
              <a:ext cx="1296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1156591</xdr:colOff>
      <xdr:row>26</xdr:row>
      <xdr:rowOff>171940</xdr:rowOff>
    </xdr:from>
    <xdr:to>
      <xdr:col>33</xdr:col>
      <xdr:colOff>1160126</xdr:colOff>
      <xdr:row>26</xdr:row>
      <xdr:rowOff>173380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B006D42F-ACB4-F23C-475E-00EA64E972BF}"/>
                </a:ext>
              </a:extLst>
            </xdr14:cNvPr>
            <xdr14:cNvContentPartPr/>
          </xdr14:nvContentPartPr>
          <xdr14:nvPr macro=""/>
          <xdr14:xfrm>
            <a:off x="27908371" y="5208645"/>
            <a:ext cx="360" cy="14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B006D42F-ACB4-F23C-475E-00EA64E972B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7902251" y="5202525"/>
              <a:ext cx="126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1145791</xdr:colOff>
      <xdr:row>26</xdr:row>
      <xdr:rowOff>182380</xdr:rowOff>
    </xdr:from>
    <xdr:to>
      <xdr:col>33</xdr:col>
      <xdr:colOff>1146511</xdr:colOff>
      <xdr:row>28</xdr:row>
      <xdr:rowOff>74044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586C6E18-37F4-A8EC-50AA-CFA12C9E32E1}"/>
                </a:ext>
              </a:extLst>
            </xdr14:cNvPr>
            <xdr14:cNvContentPartPr/>
          </xdr14:nvContentPartPr>
          <xdr14:nvPr macro=""/>
          <xdr14:xfrm>
            <a:off x="27897571" y="5219085"/>
            <a:ext cx="720" cy="2509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586C6E18-37F4-A8EC-50AA-CFA12C9E32E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7885331" y="5212965"/>
              <a:ext cx="2520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1293031</xdr:colOff>
      <xdr:row>24</xdr:row>
      <xdr:rowOff>98047</xdr:rowOff>
    </xdr:from>
    <xdr:to>
      <xdr:col>33</xdr:col>
      <xdr:colOff>1293751</xdr:colOff>
      <xdr:row>27</xdr:row>
      <xdr:rowOff>35217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A471D6BE-4C81-446A-28D4-C5B6CD6B74AF}"/>
                </a:ext>
              </a:extLst>
            </xdr14:cNvPr>
            <xdr14:cNvContentPartPr/>
          </xdr14:nvContentPartPr>
          <xdr14:nvPr macro=""/>
          <xdr14:xfrm>
            <a:off x="28044811" y="4687365"/>
            <a:ext cx="720" cy="5673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A471D6BE-4C81-446A-28D4-C5B6CD6B74A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8032571" y="4681245"/>
              <a:ext cx="25200" cy="57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1T22:50:47.59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52 7069 31745,'0'-7068'0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1T22:51:18.17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87 24 1839 0 0,'-4'-15'8955'0'0,"4"15"-8718"0"0,-1 0 0 0 0,1-1 1 0 0,0 1-1 0 0,-1-1 949 0 0,1 1-949 0 0,0 0 0 0 0,0 0 1 0 0,0 0-1 0 0,-1-2 0 0 0,1 2 0 0 0,0 0 1 0 0,0 0-1 0 0,-1 0 0 0 0,1 0 0 0 0,0 0 0 0 0,0 0 1 0 0,-1 0-1 0 0,1 0 0 0 0,0 0 0 0 0,0 0 1 0 0,-1 0-1 0 0,1 0 0 0 0,0 0 0 0 0,0 0 0 0 0,-1 0 1 0 0,1 0-1 0 0,0 0 0 0 0,0 0 0 0 0,-1 0 1 0 0,-11 6 4666 0 0,-1 7-5433 0 0,6-7 580 0 0,3-2 1 0 0,-1 3-1 0 0,0-1 0 0 0,1 0 0 0 0,0 0 0 0 0,0 2 0 0 0,1-3 1 0 0,0 3-1 0 0,1-2 0 0 0,-2 0 0 0 0,3 2 0 0 0,-1-1 0 0 0,1 0 1 0 0,1 0-1 0 0,-1 0 0 0 0,2 8 0 0 0,-1-10-15 0 0,1-2 1 0 0,0 2-1 0 0,0 1 0 0 0,0-2 0 0 0,2 1 1 0 0,-1-2-1 0 0,0 1 0 0 0,0 1 0 0 0,0-1 0 0 0,1 1 1 0 0,1-2-1 0 0,-2 0 0 0 0,2 2 0 0 0,-1-2 1 0 0,1 1-1 0 0,0-2 0 0 0,0 1 0 0 0,1 0 1 0 0,-1 0-1 0 0,0 0 0 0 0,2 0 0 0 0,-2-1 0 0 0,1 1 1 0 0,0-2-1 0 0,10 4 0 0 0,-12-4-12 0 0,0-1 0 0 0,1 0 0 0 0,0 1 0 0 0,-1-1 0 0 0,0 0-1 0 0,1 1 1 0 0,0-2 0 0 0,-1 1 0 0 0,1 0 0 0 0,-1 0 0 0 0,1-1 0 0 0,-1 1 0 0 0,1-1 0 0 0,-1 0 0 0 0,0-1-1 0 0,0 1 1 0 0,1 0 0 0 0,-1 0 0 0 0,0 0 0 0 0,-1 0 0 0 0,6-5 0 0 0,-3 3 52 0 0,0-1 1 0 0,-1 1-1 0 0,1-1 1 0 0,-1-1 0 0 0,0 0-1 0 0,-1 1 1 0 0,1 0-1 0 0,0-2 1 0 0,-2 2 0 0 0,5-11-1 0 0,-5 10-2 0 0,0 0 0 0 0,-1 0 0 0 0,0 1 0 0 0,-1-1 0 0 0,0 0 0 0 0,1-1 0 0 0,-2 2 1 0 0,1-1-1 0 0,-1-1 0 0 0,0 2 0 0 0,0-1 0 0 0,0 0 0 0 0,-2 0 0 0 0,1 0 0 0 0,0 2 0 0 0,-3-7 0 0 0,1 4 21 0 0,0 1 0 0 0,0 0 0 0 0,-1-1 1 0 0,1 1-1 0 0,-1 1 0 0 0,-1-1 0 0 0,1 0 0 0 0,-1 1 0 0 0,1 0 1 0 0,-1 0-1 0 0,-1 1 0 0 0,-8-6 0 0 0,3 4 78 0 0,-13-4 152 0 0,24 9-317 0 0,0 0 1 0 0,0 0-1 0 0,0-1 0 0 0,0 1 0 0 0,0 0 1 0 0,0 0-1 0 0,-1 0 0 0 0,1 1 0 0 0,0-1 1 0 0,0 0-1 0 0,0 0 0 0 0,0 0 0 0 0,1 1 1 0 0,-1-1-1 0 0,0 0 0 0 0,0 1 0 0 0,0-1 1 0 0,0 0-1 0 0,0 0 0 0 0,1 1 0 0 0,-2 0 1 0 0,1-1-1 0 0,0 3 0 0 0,0-3-178 0 0,1 1 1 0 0,0-1-1 0 0,0 0 0 0 0,-1 0 1 0 0,1 1-1 0 0,0-1 0 0 0,0 0 1 0 0,0 1-1 0 0,0-1 0 0 0,0 1 0 0 0,0-1 1 0 0,0 1-1 0 0,0 0 0 0 0,0-1 1 0 0,0 1-1 0 0,0-1 0 0 0,0 0 1 0 0,0 1-1 0 0,0-1 0 0 0,1 2 1 0 0,-1-2-1 0 0,0 1 0 0 0,0-1 1 0 0,1 1-1 0 0,-1-1 0 0 0,0 1 1 0 0,1-1-1 0 0,-1 0 0 0 0,1 1 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1T22:51:59.82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4 0 27428,'0'882'0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1T22:52:29.94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25 8 2759 0 0,'5'-7'18072'0'0,"-5"7"-17939"0"0,1 0 1 0 0,-1 1-1 0 0,0-1 0 0 0,1 0 0 0 0,-1 0 1 0 0,0 1-1 0 0,0-1 0 0 0,1 0 0 0 0,-1 1 1 0 0,0-1-1 0 0,0 0 0 0 0,0 1 1 0 0,1-1-1 0 0,-1 0 0 0 0,0 1 0 0 0,0-1 1 0 0,0 1-1 0 0,0-1 0 0 0,0 0 0 0 0,0 1 1 0 0,0-1-1 0 0,0 0 0 0 0,0 1 0 0 0,0-1 1 0 0,0 1-1 0 0,0-1 0 0 0,0 0 0 0 0,0 2 1 0 0,-2 22 486 0 0,2 4 199 0 0,0-24-663 0 0,0 0 1 0 0,1 0-1 0 0,-1 0 0 0 0,0 0 1 0 0,-1 0-1 0 0,1 0 1 0 0,-1-1-1 0 0,-2 9 0 0 0,-1 17 288 0 0,0 67 633 0 0,0-10-613 0 0,4 70-208 0 0,-2-126-189 0 0,1-23-68 0 0,0 0 1 0 0,1 1-1 0 0,-1 0 1 0 0,2-1-1 0 0,1 15 1 0 0,-1-21 0 0 0,-1 1 0 0 0,0-1 0 0 0,1 0 0 0 0,-1 1 0 0 0,0-1 0 0 0,0 0 0 0 0,0 1 0 0 0,0-1 0 0 0,0 0 0 0 0,0 1 0 0 0,-1 0 0 0 0,1-1 0 0 0,-1 3 0 0 0,0-2 0 0 0,0 5-58 0 0,0 0-1 0 0,0 0 1 0 0,0 2-1 0 0,1 11 1 0 0,0-10-85 0 0,0-10 138 0 0,0 0 0 0 0,0 0 1 0 0,0 0-1 0 0,0 0 0 0 0,0 0 0 0 0,0 0 0 0 0,0 0 0 0 0,-1 0 0 0 0,1-1 0 0 0,0 1 0 0 0,0 0 0 0 0,0 0 0 0 0,0 0 0 0 0,0 0 0 0 0,0 0 0 0 0,0 0 0 0 0,-1 0 0 0 0,1 0 0 0 0,0 0 0 0 0,0 0 0 0 0,0 0 0 0 0,0 0 0 0 0,0 0 0 0 0,0 1 0 0 0,0-1 0 0 0,-1 0 0 0 0,1 0 0 0 0,0 0 1 0 0,0 0-1 0 0,0 0 0 0 0,0 0 0 0 0,0 0 0 0 0,0 0 0 0 0,0 0 0 0 0,0 0 0 0 0,0 0 0 0 0,0 0 0 0 0,-1 0 0 0 0,1 1 0 0 0,0-1 0 0 0,0 0 0 0 0,0 0 0 0 0,0 0 0 0 0,0 0 0 0 0,0 0 0 0 0,0 0 0 0 0,0 0 0 0 0,0 0 0 0 0,0 1 0 0 0,0-1 4 0 0,0 0 1 0 0,0-1-1 0 0,-1 1 0 0 0,1 0 0 0 0,0 0 0 0 0,0 0 0 0 0,0 0 0 0 0,0-1 0 0 0,0 1 0 0 0,0 0 1 0 0,0 0-1 0 0,0 0 0 0 0,-1-1 0 0 0,1 1 0 0 0,0 0 0 0 0,0 0 0 0 0,0 0 0 0 0,0-1 0 0 0,0 1 1 0 0,0 0-1 0 0,0 0 0 0 0,0 0 0 0 0,0-1 0 0 0,0 1 0 0 0,0 0 0 0 0,1 0 0 0 0,-1 0 0 0 0,0 0 1 0 0,0-1-1 0 0,0 1 0 0 0,0 0 0 0 0,0 0 0 0 0,0 0 0 0 0,0-1 0 0 0,0 1 0 0 0,0 0 1 0 0,1 0-1 0 0,-1 0 0 0 0,0 0 0 0 0,0 0 0 0 0,0-1 0 0 0,0 1 0 0 0,1 0 0 0 0,-1 0 0 0 0,2 4-102 0 0,-2-4 98 0 0,0 0 0 0 0,0 0-1 0 0,0 0 1 0 0,0 0 0 0 0,0 0 0 0 0,0 0 0 0 0,0 0 0 0 0,0 0 0 0 0,0 0 0 0 0,0 0 0 0 0,1 0 0 0 0,-1 0 0 0 0,0 0 0 0 0,0 0 0 0 0,0 0 0 0 0,0 0 0 0 0,0 0-1 0 0,0 0 1 0 0,0 0 0 0 0,0 0 0 0 0,0 0 0 0 0,0 0 0 0 0,1 0 0 0 0,-1 0 0 0 0,0 0 0 0 0,0 0 0 0 0,0 0 0 0 0,0 0 0 0 0,0 0 0 0 0,0 0 0 0 0,0 0 0 0 0,0 0-1 0 0,0 0 1 0 0,0 0 0 0 0,0 0 0 0 0,1 0 0 0 0,-1 0 0 0 0,0 0 0 0 0,0 0 0 0 0,0 0 0 0 0,0 0 0 0 0,0 1 0 0 0,0-1 0 0 0,0 0 0 0 0,0 0 0 0 0,0 0 0 0 0,0 0-1 0 0,0 0 1 0 0,0 0 0 0 0,0 0 0 0 0,0 0 0 0 0,0 0 0 0 0,0 1 0 0 0,10-7-839 0 0,-9 6 844 0 0,-2 0 0 0 0,1 0 0 0 0,0 0 0 0 0,0 0 0 0 0,0 0 0 0 0,0 0 0 0 0,1 0 0 0 0,-1 0 0 0 0,0 0 0 0 0,0 0 0 0 0,0 0 0 0 0,0 0 0 0 0,0 0 0 0 0,0-1-11 0 0,-1 4-42 0 0,1-4 42 0 0,-1 2-112 0 0,0 0 0 0 0,-1 0-1 0 0,1 0 1 0 0,1 0 0 0 0,-1-1-1 0 0,0 1 1 0 0,0 0 0 0 0,-1-1-1 0 0,1 1 1 0 0,0 0 0 0 0,-2 0-1 0 0,0-2-271 0 0,1 1-1527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1T22:52:44.09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40 1 2495 0 0,'0'0'0'0'0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1T22:53:39.06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4 0 27777,'0'2310'0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1T22:53:51.33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 0 3159 0 0,'0'9'20819'0'0,"0"8"-18635"0"0,0 4-1411 0 0,5-1 468 0 0,-5-16-1166 0 0,0 0 0 0 0,0 1 0 0 0,0 0 0 0 0,0-2 0 0 0,0 9 0 0 0,0-3-8 0 0,-5-2 0 0 0,5 1 0 0 0,0 0 1 0 0,5 15-1 0 0,0 10 149 0 0,-10-6-131 0 0,5-19-231 0 0,0 10-811 0 0,0-15 472 0 0,-5-5 216 0 0,0-5-762 0 0,5 4 495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1T22:54:23.472"/>
    </inkml:context>
    <inkml:brush xml:id="br0">
      <inkml:brushProperty name="width" value="0.035" units="cm"/>
      <inkml:brushProperty name="height" value="0.035" units="cm"/>
      <inkml:brushProperty name="color" value="#00A0D7"/>
    </inkml:brush>
  </inkml:definitions>
  <inkml:trace contextRef="#ctx0" brushRef="#br0">1 0 27436,'0'773'0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1T22:54:28.166"/>
    </inkml:context>
    <inkml:brush xml:id="br0">
      <inkml:brushProperty name="width" value="0.035" units="cm"/>
      <inkml:brushProperty name="height" value="0.035" units="cm"/>
      <inkml:brushProperty name="color" value="#00A0D7"/>
    </inkml:brush>
  </inkml:definitions>
  <inkml:trace contextRef="#ctx0" brushRef="#br0">0 0 1375 0 0,'14'3'14147'0'0,"-15"1"-9604"0"0,-1 7-1417 0 0,2-6-3049 0 0,-3 1 0 0 0,1-1 0 0 0,1 0-1 0 0,-1-1 1 0 0,2 2 0 0 0,0-1 0 0 0,2 5 0 0 0,-2 13 124 0 0,0 32-159 0 0,3-17-20 0 0,11 18 322 0 0,-17-84-2428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1T22:54:33.572"/>
    </inkml:context>
    <inkml:brush xml:id="br0">
      <inkml:brushProperty name="width" value="0.035" units="cm"/>
      <inkml:brushProperty name="height" value="0.035" units="cm"/>
      <inkml:brushProperty name="color" value="#00A0D7"/>
    </inkml:brush>
  </inkml:definitions>
  <inkml:trace contextRef="#ctx0" brushRef="#br0">3 0 24763,'-2'1501'0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1T22:54:59.86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8 919 0 0,'0'0'115'0'0,"5"-2"3813"0"0,6-3-3368 0 0,-11 5-376 0 0,0 0 0 0 0,0 0-1 0 0,0 0 1 0 0,1 0 0 0 0,-1 0 0 0 0,0 0-1 0 0,0 0 1 0 0,0-1 0 0 0,0 1 0 0 0,1 0-1 0 0,-1 0 1 0 0,0 0 0 0 0,0 0 0 0 0,1 0-1 0 0,-1 0 1 0 0,0 0 0 0 0,0 0 0 0 0,0 0-1 0 0,1 0 1 0 0,-1 0 0 0 0,0 0-1 0 0,0 0 1 0 0,0 0 0 0 0,1 0 0 0 0,-1 0-1 0 0,0 1 1 0 0,0-1 0 0 0,0 0 0 0 0,1 0-1 0 0,-1 0 1 0 0,0 0 0 0 0,0 0 0 0 0,0 0-1 0 0,0 1 1 0 0,1-1 0 0 0,-1 0 0 0 0,0 0-1 0 0,0 0 1 0 0,0 0 0 0 0,0 1 0 0 0,0-1-1 0 0,0 0 1 0 0,0 0 0 0 0,2 3 3871 0 0,-2-9-1803 0 0,3 57 4144 0 0,1 6-5342 0 0,-4-46-925 0 0,0 0 0 0 0,4 22 0 0 0,-3 35-65 0 0,-2-46-64 0 0,-2-1 0 0 0,9-3-64 0 0,-11-34-495 0 0,3 9 54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1T22:55:03.84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1 2071 0 0,'0'0'184'0'0,"0"1"-184"0"0,0 0 0 0 0,0 0 0 0 0,0 0 0 0 0,1 0 0 0 0,-1 0 0 0 0,0 0 0 0 0,0 0 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1T22:55:03.97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1 2303 0 0,'0'1'0'0'0,"0"0"0"0"0,0 0 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1T22:55:28.90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6 0 23114,'0'695'0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1T22:55:52.06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7 0 18966,'0'1554'0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70"/>
  <sheetViews>
    <sheetView topLeftCell="A120" zoomScale="75" zoomScaleNormal="60" workbookViewId="0">
      <selection activeCell="N227" sqref="N227"/>
    </sheetView>
  </sheetViews>
  <sheetFormatPr defaultRowHeight="14.5" x14ac:dyDescent="0.35"/>
  <cols>
    <col min="1" max="1" width="13.54296875" customWidth="1"/>
    <col min="2" max="2" width="7.1796875" customWidth="1"/>
    <col min="3" max="3" width="17.453125" customWidth="1"/>
    <col min="4" max="4" width="13.54296875" customWidth="1"/>
    <col min="5" max="5" width="7.26953125" customWidth="1"/>
    <col min="6" max="6" width="15.81640625" bestFit="1" customWidth="1"/>
    <col min="7" max="7" width="15.81640625" customWidth="1"/>
    <col min="8" max="8" width="14.1796875" customWidth="1"/>
    <col min="9" max="9" width="12.7265625" customWidth="1"/>
    <col min="10" max="10" width="13.453125" customWidth="1"/>
    <col min="14" max="14" width="11.7265625" customWidth="1"/>
    <col min="15" max="15" width="6.81640625" customWidth="1"/>
    <col min="16" max="16" width="10.1796875" bestFit="1" customWidth="1"/>
    <col min="17" max="17" width="4.453125" customWidth="1"/>
    <col min="18" max="18" width="19.7265625" customWidth="1"/>
    <col min="19" max="19" width="12.26953125" customWidth="1"/>
    <col min="20" max="20" width="6" bestFit="1" customWidth="1"/>
    <col min="21" max="22" width="15.81640625" customWidth="1"/>
    <col min="23" max="23" width="13.54296875" bestFit="1" customWidth="1"/>
    <col min="24" max="24" width="8.453125" bestFit="1" customWidth="1"/>
    <col min="25" max="25" width="12.453125" bestFit="1" customWidth="1"/>
    <col min="26" max="26" width="12.81640625" bestFit="1" customWidth="1"/>
    <col min="31" max="31" width="13.54296875" customWidth="1"/>
    <col min="32" max="32" width="6.54296875" customWidth="1"/>
    <col min="33" max="34" width="20.453125" customWidth="1"/>
    <col min="35" max="35" width="13.81640625" customWidth="1"/>
    <col min="36" max="36" width="5" customWidth="1"/>
    <col min="37" max="37" width="9.1796875" customWidth="1"/>
    <col min="38" max="38" width="14.54296875" customWidth="1"/>
    <col min="39" max="39" width="4.1796875" customWidth="1"/>
    <col min="40" max="40" width="15.7265625" customWidth="1"/>
    <col min="41" max="41" width="9.26953125" bestFit="1" customWidth="1"/>
    <col min="42" max="42" width="10.54296875" bestFit="1" customWidth="1"/>
    <col min="43" max="43" width="12" bestFit="1" customWidth="1"/>
  </cols>
  <sheetData>
    <row r="1" spans="1:43" ht="21" x14ac:dyDescent="0.5">
      <c r="A1" s="40" t="s">
        <v>9</v>
      </c>
      <c r="B1" s="33"/>
      <c r="C1" s="37" t="s">
        <v>69</v>
      </c>
      <c r="D1" s="37" t="s">
        <v>68</v>
      </c>
      <c r="E1" s="2"/>
      <c r="F1" s="2" t="s">
        <v>4</v>
      </c>
      <c r="G1" s="2"/>
      <c r="H1" s="2" t="s">
        <v>67</v>
      </c>
      <c r="I1" s="2" t="s">
        <v>5</v>
      </c>
      <c r="J1" s="2" t="s">
        <v>6</v>
      </c>
      <c r="K1" s="2"/>
      <c r="L1" s="2" t="s">
        <v>7</v>
      </c>
      <c r="M1" s="3" t="s">
        <v>8</v>
      </c>
      <c r="P1" s="11" t="s">
        <v>9</v>
      </c>
      <c r="Q1" s="33"/>
      <c r="R1" s="37" t="s">
        <v>69</v>
      </c>
      <c r="S1" s="37" t="s">
        <v>68</v>
      </c>
      <c r="T1" s="2"/>
      <c r="U1" s="2" t="s">
        <v>4</v>
      </c>
      <c r="V1" s="2"/>
      <c r="W1" s="2" t="s">
        <v>67</v>
      </c>
      <c r="X1" s="2" t="s">
        <v>5</v>
      </c>
      <c r="Y1" s="2" t="s">
        <v>6</v>
      </c>
      <c r="Z1" s="2"/>
      <c r="AA1" s="2" t="s">
        <v>7</v>
      </c>
      <c r="AB1" s="3" t="s">
        <v>8</v>
      </c>
      <c r="AG1" t="s">
        <v>116</v>
      </c>
      <c r="AH1" t="s">
        <v>129</v>
      </c>
      <c r="AI1" t="s">
        <v>130</v>
      </c>
      <c r="AJ1" s="10" t="s">
        <v>118</v>
      </c>
      <c r="AL1" t="s">
        <v>131</v>
      </c>
      <c r="AM1" s="10" t="s">
        <v>118</v>
      </c>
    </row>
    <row r="2" spans="1:43" x14ac:dyDescent="0.35">
      <c r="A2" s="4">
        <v>13</v>
      </c>
      <c r="M2" s="5"/>
      <c r="P2" s="4">
        <v>12</v>
      </c>
      <c r="AB2" s="5"/>
      <c r="AG2" t="s">
        <v>117</v>
      </c>
      <c r="AH2">
        <v>24.1</v>
      </c>
      <c r="AI2">
        <v>41</v>
      </c>
      <c r="AJ2">
        <v>1</v>
      </c>
      <c r="AL2">
        <v>31</v>
      </c>
      <c r="AM2">
        <v>5</v>
      </c>
      <c r="AO2">
        <f>AI2-AL2</f>
        <v>10</v>
      </c>
      <c r="AQ2" t="s">
        <v>132</v>
      </c>
    </row>
    <row r="3" spans="1:43" x14ac:dyDescent="0.35">
      <c r="A3" s="6" t="s">
        <v>0</v>
      </c>
      <c r="B3" s="27"/>
      <c r="C3" s="27">
        <v>0.48</v>
      </c>
      <c r="D3" s="27"/>
      <c r="F3" s="10" t="s">
        <v>59</v>
      </c>
      <c r="G3" s="10"/>
      <c r="H3">
        <v>117</v>
      </c>
      <c r="I3">
        <v>41</v>
      </c>
      <c r="J3">
        <v>1</v>
      </c>
      <c r="L3">
        <v>3</v>
      </c>
      <c r="M3" s="5">
        <v>3</v>
      </c>
      <c r="P3" s="6" t="s">
        <v>0</v>
      </c>
      <c r="Q3" s="27"/>
      <c r="R3" s="27">
        <v>1.2</v>
      </c>
      <c r="S3" s="27"/>
      <c r="U3" s="10" t="s">
        <v>110</v>
      </c>
      <c r="V3" s="10"/>
      <c r="W3">
        <v>116</v>
      </c>
      <c r="X3">
        <v>35</v>
      </c>
      <c r="Y3">
        <v>9</v>
      </c>
      <c r="AA3">
        <v>5</v>
      </c>
      <c r="AB3" s="5">
        <v>3</v>
      </c>
      <c r="AC3" t="s">
        <v>1</v>
      </c>
      <c r="AG3" t="s">
        <v>119</v>
      </c>
      <c r="AH3">
        <v>30.9</v>
      </c>
      <c r="AI3">
        <v>54</v>
      </c>
      <c r="AJ3">
        <v>14</v>
      </c>
      <c r="AL3">
        <v>40</v>
      </c>
      <c r="AM3">
        <v>8</v>
      </c>
      <c r="AO3">
        <f t="shared" ref="AO3:AO13" si="0">AI3-AL3</f>
        <v>14</v>
      </c>
      <c r="AQ3">
        <f>AVERAGE(AO2:AO5,AO7:AO9,AO11:AO13)</f>
        <v>6.1</v>
      </c>
    </row>
    <row r="4" spans="1:43" x14ac:dyDescent="0.35">
      <c r="A4" s="7" t="s">
        <v>1</v>
      </c>
      <c r="B4" s="28"/>
      <c r="C4" s="28">
        <v>0.3</v>
      </c>
      <c r="D4" s="28"/>
      <c r="F4" s="12"/>
      <c r="G4" s="12"/>
      <c r="H4" s="12"/>
      <c r="I4" s="12"/>
      <c r="J4" s="12"/>
      <c r="K4" s="12"/>
      <c r="L4" s="12"/>
      <c r="M4" s="13"/>
      <c r="P4" s="7" t="s">
        <v>1</v>
      </c>
      <c r="Q4" s="28"/>
      <c r="R4" s="28">
        <v>0.45</v>
      </c>
      <c r="S4" s="28"/>
      <c r="U4">
        <v>0</v>
      </c>
      <c r="W4">
        <v>110</v>
      </c>
      <c r="X4">
        <v>30</v>
      </c>
      <c r="Y4">
        <v>7</v>
      </c>
      <c r="AA4">
        <v>6</v>
      </c>
      <c r="AB4" s="5">
        <v>6</v>
      </c>
      <c r="AC4" t="s">
        <v>108</v>
      </c>
      <c r="AG4" t="s">
        <v>120</v>
      </c>
      <c r="AH4">
        <v>35.9</v>
      </c>
      <c r="AI4">
        <v>56</v>
      </c>
      <c r="AJ4">
        <v>4</v>
      </c>
      <c r="AL4">
        <v>50</v>
      </c>
      <c r="AM4">
        <v>8</v>
      </c>
      <c r="AO4">
        <f t="shared" si="0"/>
        <v>6</v>
      </c>
    </row>
    <row r="5" spans="1:43" x14ac:dyDescent="0.35">
      <c r="A5" s="8" t="s">
        <v>2</v>
      </c>
      <c r="B5" s="29"/>
      <c r="C5" s="29"/>
      <c r="D5" s="29"/>
      <c r="F5" s="12"/>
      <c r="G5" s="12"/>
      <c r="H5" s="12"/>
      <c r="I5" s="12"/>
      <c r="J5" s="12"/>
      <c r="K5" s="12"/>
      <c r="L5" s="12"/>
      <c r="M5" s="13"/>
      <c r="P5" s="8" t="s">
        <v>2</v>
      </c>
      <c r="Q5" s="29"/>
      <c r="R5" s="29"/>
      <c r="S5" s="29"/>
      <c r="U5" s="10" t="s">
        <v>111</v>
      </c>
      <c r="W5">
        <v>116</v>
      </c>
      <c r="X5">
        <v>35</v>
      </c>
      <c r="Y5">
        <v>7</v>
      </c>
      <c r="AA5">
        <v>5</v>
      </c>
      <c r="AB5" s="5">
        <v>3</v>
      </c>
      <c r="AG5" t="s">
        <v>121</v>
      </c>
      <c r="AH5">
        <v>37.9</v>
      </c>
      <c r="AI5">
        <v>43</v>
      </c>
      <c r="AJ5">
        <v>3</v>
      </c>
      <c r="AL5">
        <v>31</v>
      </c>
      <c r="AM5">
        <v>5</v>
      </c>
      <c r="AO5">
        <f t="shared" si="0"/>
        <v>12</v>
      </c>
      <c r="AQ5" t="s">
        <v>133</v>
      </c>
    </row>
    <row r="6" spans="1:43" x14ac:dyDescent="0.35">
      <c r="A6" s="4"/>
      <c r="M6" s="5"/>
      <c r="P6" s="4"/>
      <c r="AB6" s="5"/>
      <c r="AC6" t="s">
        <v>0</v>
      </c>
      <c r="AQ6">
        <f>STDEVA(AO2:AO5,AO7:AO9,AO11:AO13)</f>
        <v>17.533776927214895</v>
      </c>
    </row>
    <row r="7" spans="1:43" x14ac:dyDescent="0.35">
      <c r="A7" s="4" t="s">
        <v>3</v>
      </c>
      <c r="E7" s="61"/>
      <c r="F7" s="61"/>
      <c r="G7" s="61"/>
      <c r="H7" s="61"/>
      <c r="I7" s="61"/>
      <c r="J7" s="61"/>
      <c r="K7" s="61"/>
      <c r="L7" s="61"/>
      <c r="M7" s="62"/>
      <c r="P7" s="4" t="s">
        <v>3</v>
      </c>
      <c r="T7" s="61"/>
      <c r="U7" s="61"/>
      <c r="V7" s="61"/>
      <c r="W7" s="61"/>
      <c r="X7" s="61"/>
      <c r="Y7" s="61"/>
      <c r="Z7" s="61"/>
      <c r="AA7" s="61"/>
      <c r="AB7" s="62"/>
      <c r="AC7" t="s">
        <v>109</v>
      </c>
      <c r="AG7" t="s">
        <v>122</v>
      </c>
      <c r="AH7">
        <v>59.5</v>
      </c>
      <c r="AI7">
        <v>48</v>
      </c>
      <c r="AJ7">
        <v>5</v>
      </c>
      <c r="AL7">
        <v>73</v>
      </c>
      <c r="AM7">
        <v>13</v>
      </c>
      <c r="AO7">
        <f t="shared" si="0"/>
        <v>-25</v>
      </c>
    </row>
    <row r="8" spans="1:43" x14ac:dyDescent="0.35">
      <c r="A8" s="4"/>
      <c r="E8" s="61"/>
      <c r="F8" s="61"/>
      <c r="G8" s="61"/>
      <c r="H8" s="61"/>
      <c r="I8" s="61"/>
      <c r="J8" s="61"/>
      <c r="K8" s="61"/>
      <c r="L8" s="61"/>
      <c r="M8" s="62"/>
      <c r="P8" s="4"/>
      <c r="T8" s="61"/>
      <c r="U8" s="61"/>
      <c r="V8" s="61"/>
      <c r="W8" s="61"/>
      <c r="X8" s="61"/>
      <c r="Y8" s="61"/>
      <c r="Z8" s="61"/>
      <c r="AA8" s="61"/>
      <c r="AB8" s="62"/>
      <c r="AG8" t="s">
        <v>123</v>
      </c>
      <c r="AH8">
        <v>62.1</v>
      </c>
      <c r="AI8">
        <v>92</v>
      </c>
      <c r="AJ8">
        <v>5</v>
      </c>
      <c r="AL8">
        <v>57</v>
      </c>
      <c r="AM8">
        <v>14</v>
      </c>
      <c r="AO8">
        <f t="shared" si="0"/>
        <v>35</v>
      </c>
    </row>
    <row r="9" spans="1:43" x14ac:dyDescent="0.35">
      <c r="A9" s="4"/>
      <c r="E9" s="61"/>
      <c r="F9" s="61"/>
      <c r="G9" s="61"/>
      <c r="H9" s="61"/>
      <c r="I9" s="61"/>
      <c r="J9" s="61"/>
      <c r="K9" s="61"/>
      <c r="L9" s="61"/>
      <c r="M9" s="62"/>
      <c r="P9" s="4"/>
      <c r="T9" s="61"/>
      <c r="U9" s="61"/>
      <c r="V9" s="61"/>
      <c r="W9" s="61"/>
      <c r="X9" s="61"/>
      <c r="Y9" s="61"/>
      <c r="Z9" s="61"/>
      <c r="AA9" s="61"/>
      <c r="AB9" s="62"/>
      <c r="AG9" t="s">
        <v>124</v>
      </c>
      <c r="AH9">
        <v>41.9</v>
      </c>
      <c r="AI9">
        <v>64</v>
      </c>
      <c r="AJ9">
        <v>8</v>
      </c>
      <c r="AL9">
        <v>40</v>
      </c>
      <c r="AM9">
        <v>6</v>
      </c>
      <c r="AO9">
        <f t="shared" si="0"/>
        <v>24</v>
      </c>
    </row>
    <row r="10" spans="1:43" ht="15" thickBot="1" x14ac:dyDescent="0.4">
      <c r="A10" s="9"/>
      <c r="B10" s="34"/>
      <c r="C10" s="34"/>
      <c r="D10" s="34"/>
      <c r="E10" s="63"/>
      <c r="F10" s="63"/>
      <c r="G10" s="63"/>
      <c r="H10" s="63"/>
      <c r="I10" s="63"/>
      <c r="J10" s="63"/>
      <c r="K10" s="63"/>
      <c r="L10" s="63"/>
      <c r="M10" s="64"/>
      <c r="P10" s="9"/>
      <c r="Q10" s="34"/>
      <c r="R10" s="34"/>
      <c r="S10" s="34"/>
      <c r="T10" s="63"/>
      <c r="U10" s="63"/>
      <c r="V10" s="63"/>
      <c r="W10" s="63"/>
      <c r="X10" s="63"/>
      <c r="Y10" s="63"/>
      <c r="Z10" s="63"/>
      <c r="AA10" s="63"/>
      <c r="AB10" s="64"/>
    </row>
    <row r="11" spans="1:43" x14ac:dyDescent="0.35">
      <c r="E11" s="1"/>
      <c r="F11" s="1"/>
      <c r="G11" s="1"/>
      <c r="H11" s="1"/>
      <c r="I11" s="1"/>
      <c r="J11" s="1"/>
      <c r="K11" s="1"/>
      <c r="L11" s="1"/>
      <c r="M11" s="1"/>
      <c r="AG11" t="s">
        <v>126</v>
      </c>
      <c r="AH11">
        <v>96.9</v>
      </c>
      <c r="AI11">
        <v>102</v>
      </c>
      <c r="AJ11">
        <v>11</v>
      </c>
      <c r="AL11">
        <v>107</v>
      </c>
      <c r="AM11">
        <v>9</v>
      </c>
      <c r="AO11">
        <f t="shared" si="0"/>
        <v>-5</v>
      </c>
    </row>
    <row r="12" spans="1:43" ht="15" thickBot="1" x14ac:dyDescent="0.4">
      <c r="AG12" t="s">
        <v>127</v>
      </c>
      <c r="AH12">
        <v>228.6</v>
      </c>
      <c r="AI12">
        <v>65</v>
      </c>
      <c r="AJ12">
        <v>4</v>
      </c>
      <c r="AL12">
        <v>79</v>
      </c>
      <c r="AM12">
        <v>11</v>
      </c>
      <c r="AO12">
        <f t="shared" si="0"/>
        <v>-14</v>
      </c>
    </row>
    <row r="13" spans="1:43" ht="21" x14ac:dyDescent="0.5">
      <c r="A13" s="40" t="s">
        <v>17</v>
      </c>
      <c r="B13" s="33"/>
      <c r="C13" s="33"/>
      <c r="D13" s="33"/>
      <c r="E13" s="2"/>
      <c r="F13" s="2" t="s">
        <v>4</v>
      </c>
      <c r="G13" s="2"/>
      <c r="H13" s="2" t="s">
        <v>67</v>
      </c>
      <c r="I13" s="2" t="s">
        <v>5</v>
      </c>
      <c r="J13" s="2" t="s">
        <v>6</v>
      </c>
      <c r="K13" s="2"/>
      <c r="L13" s="2" t="s">
        <v>7</v>
      </c>
      <c r="M13" s="3" t="s">
        <v>8</v>
      </c>
      <c r="P13" s="11" t="s">
        <v>112</v>
      </c>
      <c r="Q13" s="33"/>
      <c r="R13" s="37" t="s">
        <v>69</v>
      </c>
      <c r="S13" s="37" t="s">
        <v>68</v>
      </c>
      <c r="T13" s="2"/>
      <c r="U13" s="2" t="s">
        <v>4</v>
      </c>
      <c r="V13" s="2"/>
      <c r="W13" s="2" t="s">
        <v>67</v>
      </c>
      <c r="X13" s="2" t="s">
        <v>5</v>
      </c>
      <c r="Y13" s="2" t="s">
        <v>6</v>
      </c>
      <c r="Z13" s="2"/>
      <c r="AA13" s="2" t="s">
        <v>7</v>
      </c>
      <c r="AB13" s="3" t="s">
        <v>8</v>
      </c>
      <c r="AG13" t="s">
        <v>128</v>
      </c>
      <c r="AH13">
        <v>275.39999999999998</v>
      </c>
      <c r="AI13">
        <v>94</v>
      </c>
      <c r="AJ13">
        <v>6</v>
      </c>
      <c r="AL13">
        <v>90</v>
      </c>
      <c r="AM13">
        <v>11</v>
      </c>
      <c r="AO13">
        <f t="shared" si="0"/>
        <v>4</v>
      </c>
    </row>
    <row r="14" spans="1:43" x14ac:dyDescent="0.35">
      <c r="A14" s="4">
        <v>13</v>
      </c>
      <c r="M14" s="5"/>
      <c r="P14" s="4">
        <v>12</v>
      </c>
      <c r="AB14" s="5"/>
    </row>
    <row r="15" spans="1:43" x14ac:dyDescent="0.35">
      <c r="A15" s="6" t="s">
        <v>0</v>
      </c>
      <c r="B15" s="27"/>
      <c r="C15" s="27">
        <v>0.15</v>
      </c>
      <c r="D15" s="27"/>
      <c r="F15" s="10" t="s">
        <v>53</v>
      </c>
      <c r="G15" s="10"/>
      <c r="H15">
        <v>126</v>
      </c>
      <c r="I15">
        <v>54</v>
      </c>
      <c r="J15">
        <v>14</v>
      </c>
      <c r="L15">
        <v>7</v>
      </c>
      <c r="M15" s="5">
        <v>6</v>
      </c>
      <c r="P15" s="6" t="s">
        <v>0</v>
      </c>
      <c r="Q15" s="27"/>
      <c r="R15" s="27">
        <v>0.3</v>
      </c>
      <c r="T15" s="27"/>
      <c r="U15" s="10" t="s">
        <v>113</v>
      </c>
      <c r="V15" s="10"/>
      <c r="W15">
        <v>128</v>
      </c>
      <c r="X15">
        <v>39</v>
      </c>
      <c r="Y15">
        <v>7</v>
      </c>
      <c r="AA15">
        <v>3</v>
      </c>
      <c r="AB15" s="5">
        <v>2</v>
      </c>
    </row>
    <row r="16" spans="1:43" x14ac:dyDescent="0.35">
      <c r="A16" s="7" t="s">
        <v>1</v>
      </c>
      <c r="B16" s="28"/>
      <c r="C16" s="28"/>
      <c r="D16" s="28"/>
      <c r="F16" s="32" t="s">
        <v>51</v>
      </c>
      <c r="G16" s="32"/>
      <c r="H16" s="30"/>
      <c r="I16" s="30">
        <v>46</v>
      </c>
      <c r="J16" s="30">
        <v>4</v>
      </c>
      <c r="K16" s="30"/>
      <c r="L16" s="30">
        <v>4</v>
      </c>
      <c r="M16" s="31">
        <v>5</v>
      </c>
      <c r="P16" s="7" t="s">
        <v>1</v>
      </c>
      <c r="Q16" s="28"/>
      <c r="R16" s="29">
        <v>0.4</v>
      </c>
      <c r="S16" s="28"/>
      <c r="U16" s="10" t="s">
        <v>115</v>
      </c>
      <c r="W16">
        <v>133</v>
      </c>
      <c r="X16">
        <v>37</v>
      </c>
      <c r="Y16">
        <v>5</v>
      </c>
      <c r="AA16">
        <v>3</v>
      </c>
      <c r="AB16" s="5">
        <v>2</v>
      </c>
    </row>
    <row r="17" spans="1:28" x14ac:dyDescent="0.35">
      <c r="A17" s="8" t="s">
        <v>2</v>
      </c>
      <c r="B17" s="29"/>
      <c r="C17" s="29"/>
      <c r="D17" s="29"/>
      <c r="F17" s="10" t="s">
        <v>53</v>
      </c>
      <c r="G17" s="10"/>
      <c r="H17">
        <v>125</v>
      </c>
      <c r="I17">
        <v>53</v>
      </c>
      <c r="J17">
        <v>16</v>
      </c>
      <c r="L17">
        <v>4</v>
      </c>
      <c r="M17" s="5">
        <v>5</v>
      </c>
      <c r="P17" s="8" t="s">
        <v>2</v>
      </c>
      <c r="Q17" s="29"/>
      <c r="S17" s="29"/>
      <c r="U17" s="10" t="s">
        <v>114</v>
      </c>
      <c r="W17">
        <v>131</v>
      </c>
      <c r="X17">
        <v>44</v>
      </c>
      <c r="Y17">
        <v>10</v>
      </c>
      <c r="AA17">
        <v>4</v>
      </c>
      <c r="AB17" s="5">
        <v>2</v>
      </c>
    </row>
    <row r="18" spans="1:28" x14ac:dyDescent="0.35">
      <c r="A18" s="4"/>
      <c r="M18" s="5"/>
      <c r="P18" s="4"/>
      <c r="AB18" s="5"/>
    </row>
    <row r="19" spans="1:28" x14ac:dyDescent="0.35">
      <c r="A19" s="4" t="s">
        <v>3</v>
      </c>
      <c r="E19" s="61"/>
      <c r="F19" s="61"/>
      <c r="G19" s="61"/>
      <c r="H19" s="61"/>
      <c r="I19" s="61"/>
      <c r="J19" s="61"/>
      <c r="K19" s="61"/>
      <c r="L19" s="61"/>
      <c r="M19" s="62"/>
      <c r="P19" s="4" t="s">
        <v>3</v>
      </c>
      <c r="T19" s="61"/>
      <c r="U19" s="61"/>
      <c r="V19" s="61"/>
      <c r="W19" s="61"/>
      <c r="X19" s="61"/>
      <c r="Y19" s="61"/>
      <c r="Z19" s="61"/>
      <c r="AA19" s="61"/>
      <c r="AB19" s="62"/>
    </row>
    <row r="20" spans="1:28" x14ac:dyDescent="0.35">
      <c r="A20" s="4"/>
      <c r="E20" s="61"/>
      <c r="F20" s="61"/>
      <c r="G20" s="61"/>
      <c r="H20" s="61"/>
      <c r="I20" s="61"/>
      <c r="J20" s="61"/>
      <c r="K20" s="61"/>
      <c r="L20" s="61"/>
      <c r="M20" s="62"/>
      <c r="P20" s="4"/>
      <c r="T20" s="61"/>
      <c r="U20" s="61"/>
      <c r="V20" s="61"/>
      <c r="W20" s="61"/>
      <c r="X20" s="61"/>
      <c r="Y20" s="61"/>
      <c r="Z20" s="61"/>
      <c r="AA20" s="61"/>
      <c r="AB20" s="62"/>
    </row>
    <row r="21" spans="1:28" x14ac:dyDescent="0.35">
      <c r="A21" s="4"/>
      <c r="E21" s="61"/>
      <c r="F21" s="61"/>
      <c r="G21" s="61"/>
      <c r="H21" s="61"/>
      <c r="I21" s="61"/>
      <c r="J21" s="61"/>
      <c r="K21" s="61"/>
      <c r="L21" s="61"/>
      <c r="M21" s="62"/>
      <c r="P21" s="4"/>
      <c r="T21" s="61"/>
      <c r="U21" s="61"/>
      <c r="V21" s="61"/>
      <c r="W21" s="61"/>
      <c r="X21" s="61"/>
      <c r="Y21" s="61"/>
      <c r="Z21" s="61"/>
      <c r="AA21" s="61"/>
      <c r="AB21" s="62"/>
    </row>
    <row r="22" spans="1:28" ht="15" thickBot="1" x14ac:dyDescent="0.4">
      <c r="A22" s="9"/>
      <c r="B22" s="34"/>
      <c r="C22" s="34"/>
      <c r="D22" s="34"/>
      <c r="E22" s="63"/>
      <c r="F22" s="63"/>
      <c r="G22" s="63"/>
      <c r="H22" s="63"/>
      <c r="I22" s="63"/>
      <c r="J22" s="63"/>
      <c r="K22" s="63"/>
      <c r="L22" s="63"/>
      <c r="M22" s="64"/>
      <c r="P22" s="9"/>
      <c r="Q22" s="34"/>
      <c r="R22" s="34"/>
      <c r="S22" s="34"/>
      <c r="T22" s="63"/>
      <c r="U22" s="63"/>
      <c r="V22" s="63"/>
      <c r="W22" s="63"/>
      <c r="X22" s="63"/>
      <c r="Y22" s="63"/>
      <c r="Z22" s="63"/>
      <c r="AA22" s="63"/>
      <c r="AB22" s="64"/>
    </row>
    <row r="23" spans="1:28" x14ac:dyDescent="0.35">
      <c r="E23" s="1"/>
      <c r="F23" s="1"/>
      <c r="G23" s="1"/>
      <c r="H23" s="1"/>
      <c r="I23" s="1"/>
      <c r="J23" s="1"/>
      <c r="K23" s="1"/>
      <c r="L23" s="1"/>
      <c r="M23" s="1"/>
    </row>
    <row r="24" spans="1:28" ht="15" thickBot="1" x14ac:dyDescent="0.4">
      <c r="E24" s="1"/>
      <c r="F24" s="1"/>
      <c r="G24" s="1"/>
      <c r="H24" s="1"/>
      <c r="I24" s="1"/>
      <c r="J24" s="1"/>
      <c r="K24" s="1"/>
      <c r="L24" s="1"/>
      <c r="M24" s="1"/>
    </row>
    <row r="25" spans="1:28" ht="21" x14ac:dyDescent="0.5">
      <c r="A25" s="23" t="s">
        <v>52</v>
      </c>
      <c r="B25" s="35"/>
      <c r="C25" s="35"/>
      <c r="D25" s="35"/>
      <c r="E25" s="2"/>
      <c r="F25" s="2" t="s">
        <v>4</v>
      </c>
      <c r="G25" s="2"/>
      <c r="H25" s="2" t="s">
        <v>67</v>
      </c>
      <c r="I25" s="2" t="s">
        <v>5</v>
      </c>
      <c r="J25" s="2" t="s">
        <v>6</v>
      </c>
      <c r="K25" s="2"/>
      <c r="L25" s="2" t="s">
        <v>7</v>
      </c>
      <c r="M25" s="3" t="s">
        <v>8</v>
      </c>
    </row>
    <row r="26" spans="1:28" x14ac:dyDescent="0.35">
      <c r="A26" s="4">
        <v>13</v>
      </c>
      <c r="M26" s="5"/>
    </row>
    <row r="27" spans="1:28" x14ac:dyDescent="0.35">
      <c r="A27" s="6" t="s">
        <v>0</v>
      </c>
      <c r="B27" s="27"/>
      <c r="C27" s="27"/>
      <c r="D27" s="27"/>
      <c r="F27" s="26"/>
      <c r="G27" s="26"/>
      <c r="H27" s="24"/>
      <c r="I27" s="24"/>
      <c r="J27" s="24"/>
      <c r="K27" s="24"/>
      <c r="L27" s="24"/>
      <c r="M27" s="25"/>
    </row>
    <row r="28" spans="1:28" x14ac:dyDescent="0.35">
      <c r="A28" s="7" t="s">
        <v>1</v>
      </c>
      <c r="B28" s="28"/>
      <c r="C28" s="28"/>
      <c r="D28" s="28"/>
      <c r="F28" s="26"/>
      <c r="G28" s="26"/>
      <c r="H28" s="24"/>
      <c r="I28" s="24"/>
      <c r="J28" s="24"/>
      <c r="K28" s="24"/>
      <c r="L28" s="24"/>
      <c r="M28" s="25"/>
    </row>
    <row r="29" spans="1:28" x14ac:dyDescent="0.35">
      <c r="A29" s="8" t="s">
        <v>2</v>
      </c>
      <c r="B29" s="29"/>
      <c r="C29" s="29"/>
      <c r="D29" s="29"/>
      <c r="F29" s="26"/>
      <c r="G29" s="26"/>
      <c r="H29" s="24"/>
      <c r="I29" s="24"/>
      <c r="J29" s="24"/>
      <c r="K29" s="24"/>
      <c r="L29" s="24"/>
      <c r="M29" s="25"/>
    </row>
    <row r="30" spans="1:28" x14ac:dyDescent="0.35">
      <c r="A30" s="4"/>
      <c r="M30" s="5"/>
    </row>
    <row r="31" spans="1:28" x14ac:dyDescent="0.35">
      <c r="A31" s="4" t="s">
        <v>3</v>
      </c>
      <c r="E31" s="57" t="s">
        <v>54</v>
      </c>
      <c r="F31" s="57"/>
      <c r="G31" s="57"/>
      <c r="H31" s="57"/>
      <c r="I31" s="57"/>
      <c r="J31" s="57"/>
      <c r="K31" s="57"/>
      <c r="L31" s="57"/>
      <c r="M31" s="58"/>
    </row>
    <row r="32" spans="1:28" x14ac:dyDescent="0.35">
      <c r="A32" s="4"/>
      <c r="E32" s="57"/>
      <c r="F32" s="57"/>
      <c r="G32" s="57"/>
      <c r="H32" s="57"/>
      <c r="I32" s="57"/>
      <c r="J32" s="57"/>
      <c r="K32" s="57"/>
      <c r="L32" s="57"/>
      <c r="M32" s="58"/>
    </row>
    <row r="33" spans="1:29" x14ac:dyDescent="0.35">
      <c r="A33" s="4"/>
      <c r="E33" s="57"/>
      <c r="F33" s="57"/>
      <c r="G33" s="57"/>
      <c r="H33" s="57"/>
      <c r="I33" s="57"/>
      <c r="J33" s="57"/>
      <c r="K33" s="57"/>
      <c r="L33" s="57"/>
      <c r="M33" s="58"/>
    </row>
    <row r="34" spans="1:29" ht="15" thickBot="1" x14ac:dyDescent="0.4">
      <c r="A34" s="9"/>
      <c r="B34" s="34"/>
      <c r="C34" s="34"/>
      <c r="D34" s="34"/>
      <c r="E34" s="59"/>
      <c r="F34" s="59"/>
      <c r="G34" s="59"/>
      <c r="H34" s="59"/>
      <c r="I34" s="59"/>
      <c r="J34" s="59"/>
      <c r="K34" s="59"/>
      <c r="L34" s="59"/>
      <c r="M34" s="60"/>
    </row>
    <row r="36" spans="1:29" ht="15" thickBot="1" x14ac:dyDescent="0.4"/>
    <row r="37" spans="1:29" ht="21" x14ac:dyDescent="0.5">
      <c r="A37" s="40" t="s">
        <v>10</v>
      </c>
      <c r="B37" s="33"/>
      <c r="C37" s="33"/>
      <c r="D37" s="33"/>
      <c r="E37" s="2"/>
      <c r="F37" s="2" t="s">
        <v>4</v>
      </c>
      <c r="G37" s="2"/>
      <c r="H37" s="2" t="s">
        <v>67</v>
      </c>
      <c r="I37" s="2" t="s">
        <v>5</v>
      </c>
      <c r="J37" s="2" t="s">
        <v>6</v>
      </c>
      <c r="K37" s="2"/>
      <c r="L37" s="2" t="s">
        <v>7</v>
      </c>
      <c r="M37" s="3" t="s">
        <v>8</v>
      </c>
      <c r="P37" s="11" t="s">
        <v>10</v>
      </c>
      <c r="Q37" s="33"/>
      <c r="R37" s="37" t="s">
        <v>69</v>
      </c>
      <c r="S37" s="37" t="s">
        <v>68</v>
      </c>
      <c r="T37" s="2"/>
      <c r="U37" s="2" t="s">
        <v>4</v>
      </c>
      <c r="V37" s="2"/>
      <c r="W37" s="2" t="s">
        <v>67</v>
      </c>
      <c r="X37" s="2" t="s">
        <v>5</v>
      </c>
      <c r="Y37" s="2" t="s">
        <v>6</v>
      </c>
      <c r="Z37" s="2"/>
      <c r="AA37" s="2" t="s">
        <v>7</v>
      </c>
      <c r="AB37" s="3" t="s">
        <v>8</v>
      </c>
    </row>
    <row r="38" spans="1:29" x14ac:dyDescent="0.35">
      <c r="A38" s="4">
        <v>13</v>
      </c>
      <c r="M38" s="5"/>
      <c r="P38" s="4">
        <v>12</v>
      </c>
      <c r="AB38" s="5"/>
    </row>
    <row r="39" spans="1:29" x14ac:dyDescent="0.35">
      <c r="A39" s="6" t="s">
        <v>0</v>
      </c>
      <c r="B39" s="27"/>
      <c r="C39" s="27">
        <v>0.09</v>
      </c>
      <c r="D39" s="27"/>
      <c r="F39" s="10" t="s">
        <v>71</v>
      </c>
      <c r="G39" s="10"/>
      <c r="H39">
        <v>117</v>
      </c>
      <c r="I39">
        <v>48</v>
      </c>
      <c r="J39">
        <v>5</v>
      </c>
      <c r="L39">
        <v>4</v>
      </c>
      <c r="M39" s="5">
        <v>3</v>
      </c>
      <c r="P39" s="6" t="s">
        <v>0</v>
      </c>
      <c r="Q39" s="27"/>
      <c r="R39" s="27"/>
      <c r="S39" s="27"/>
      <c r="U39" s="10"/>
      <c r="V39" s="10"/>
      <c r="AB39" s="5"/>
      <c r="AC39" t="s">
        <v>1</v>
      </c>
    </row>
    <row r="40" spans="1:29" x14ac:dyDescent="0.35">
      <c r="A40" s="7" t="s">
        <v>1</v>
      </c>
      <c r="B40" s="28"/>
      <c r="C40" s="28">
        <v>0.15</v>
      </c>
      <c r="D40" s="28"/>
      <c r="F40" s="10" t="s">
        <v>72</v>
      </c>
      <c r="G40" s="10"/>
      <c r="H40">
        <v>119</v>
      </c>
      <c r="I40">
        <v>59</v>
      </c>
      <c r="J40">
        <v>6</v>
      </c>
      <c r="L40">
        <v>5</v>
      </c>
      <c r="M40" s="5">
        <v>4</v>
      </c>
      <c r="P40" s="7" t="s">
        <v>1</v>
      </c>
      <c r="Q40" s="28"/>
      <c r="R40" s="28"/>
      <c r="S40" s="28"/>
      <c r="AB40" s="5"/>
      <c r="AC40" t="s">
        <v>108</v>
      </c>
    </row>
    <row r="41" spans="1:29" x14ac:dyDescent="0.35">
      <c r="A41" s="8" t="s">
        <v>2</v>
      </c>
      <c r="B41" s="29"/>
      <c r="C41" s="29"/>
      <c r="D41" s="29"/>
      <c r="F41" s="10" t="s">
        <v>16</v>
      </c>
      <c r="G41" s="10"/>
      <c r="H41">
        <v>118</v>
      </c>
      <c r="I41">
        <v>56</v>
      </c>
      <c r="J41">
        <v>4</v>
      </c>
      <c r="L41">
        <v>5</v>
      </c>
      <c r="M41" s="5">
        <v>3</v>
      </c>
      <c r="P41" s="8" t="s">
        <v>2</v>
      </c>
      <c r="Q41" s="29"/>
      <c r="R41" s="29"/>
      <c r="S41" s="29"/>
      <c r="U41" s="10"/>
      <c r="AB41" s="5"/>
    </row>
    <row r="42" spans="1:29" x14ac:dyDescent="0.35">
      <c r="A42" s="4"/>
      <c r="M42" s="5"/>
      <c r="P42" s="4"/>
      <c r="AB42" s="5"/>
      <c r="AC42" t="s">
        <v>0</v>
      </c>
    </row>
    <row r="43" spans="1:29" x14ac:dyDescent="0.35">
      <c r="A43" s="4" t="s">
        <v>3</v>
      </c>
      <c r="E43" s="61"/>
      <c r="F43" s="61"/>
      <c r="G43" s="61"/>
      <c r="H43" s="61"/>
      <c r="I43" s="61"/>
      <c r="J43" s="61"/>
      <c r="K43" s="61"/>
      <c r="L43" s="61"/>
      <c r="M43" s="62"/>
      <c r="P43" s="4" t="s">
        <v>3</v>
      </c>
      <c r="T43" s="61"/>
      <c r="U43" s="61"/>
      <c r="V43" s="61"/>
      <c r="W43" s="61"/>
      <c r="X43" s="61"/>
      <c r="Y43" s="61"/>
      <c r="Z43" s="61"/>
      <c r="AA43" s="61"/>
      <c r="AB43" s="62"/>
      <c r="AC43" t="s">
        <v>109</v>
      </c>
    </row>
    <row r="44" spans="1:29" x14ac:dyDescent="0.35">
      <c r="A44" s="4"/>
      <c r="E44" s="61"/>
      <c r="F44" s="61"/>
      <c r="G44" s="61"/>
      <c r="H44" s="61"/>
      <c r="I44" s="61"/>
      <c r="J44" s="61"/>
      <c r="K44" s="61"/>
      <c r="L44" s="61"/>
      <c r="M44" s="62"/>
      <c r="P44" s="4"/>
      <c r="T44" s="61"/>
      <c r="U44" s="61"/>
      <c r="V44" s="61"/>
      <c r="W44" s="61"/>
      <c r="X44" s="61"/>
      <c r="Y44" s="61"/>
      <c r="Z44" s="61"/>
      <c r="AA44" s="61"/>
      <c r="AB44" s="62"/>
    </row>
    <row r="45" spans="1:29" x14ac:dyDescent="0.35">
      <c r="A45" s="4"/>
      <c r="E45" s="61"/>
      <c r="F45" s="61"/>
      <c r="G45" s="61"/>
      <c r="H45" s="61"/>
      <c r="I45" s="61"/>
      <c r="J45" s="61"/>
      <c r="K45" s="61"/>
      <c r="L45" s="61"/>
      <c r="M45" s="62"/>
      <c r="P45" s="4"/>
      <c r="T45" s="61"/>
      <c r="U45" s="61"/>
      <c r="V45" s="61"/>
      <c r="W45" s="61"/>
      <c r="X45" s="61"/>
      <c r="Y45" s="61"/>
      <c r="Z45" s="61"/>
      <c r="AA45" s="61"/>
      <c r="AB45" s="62"/>
    </row>
    <row r="46" spans="1:29" ht="15" thickBot="1" x14ac:dyDescent="0.4">
      <c r="A46" s="9"/>
      <c r="B46" s="34"/>
      <c r="C46" s="34"/>
      <c r="D46" s="34"/>
      <c r="E46" s="63"/>
      <c r="F46" s="63"/>
      <c r="G46" s="63"/>
      <c r="H46" s="63"/>
      <c r="I46" s="63"/>
      <c r="J46" s="63"/>
      <c r="K46" s="63"/>
      <c r="L46" s="63"/>
      <c r="M46" s="64"/>
      <c r="P46" s="9"/>
      <c r="Q46" s="34"/>
      <c r="R46" s="34"/>
      <c r="S46" s="34"/>
      <c r="T46" s="63"/>
      <c r="U46" s="63"/>
      <c r="V46" s="63"/>
      <c r="W46" s="63"/>
      <c r="X46" s="63"/>
      <c r="Y46" s="63"/>
      <c r="Z46" s="63"/>
      <c r="AA46" s="63"/>
      <c r="AB46" s="64"/>
    </row>
    <row r="48" spans="1:29" ht="15" thickBot="1" x14ac:dyDescent="0.4"/>
    <row r="49" spans="1:13" ht="21" x14ac:dyDescent="0.5">
      <c r="A49" s="23" t="s">
        <v>11</v>
      </c>
      <c r="B49" s="35"/>
      <c r="C49" s="35"/>
      <c r="D49" s="35"/>
      <c r="E49" s="2"/>
      <c r="F49" s="2" t="s">
        <v>4</v>
      </c>
      <c r="G49" s="2"/>
      <c r="H49" s="2" t="s">
        <v>67</v>
      </c>
      <c r="I49" s="2" t="s">
        <v>5</v>
      </c>
      <c r="J49" s="2" t="s">
        <v>6</v>
      </c>
      <c r="K49" s="2"/>
      <c r="L49" s="2" t="s">
        <v>7</v>
      </c>
      <c r="M49" s="3" t="s">
        <v>8</v>
      </c>
    </row>
    <row r="50" spans="1:13" x14ac:dyDescent="0.35">
      <c r="A50" s="4">
        <v>13</v>
      </c>
      <c r="M50" s="5"/>
    </row>
    <row r="51" spans="1:13" x14ac:dyDescent="0.35">
      <c r="A51" s="6" t="s">
        <v>0</v>
      </c>
      <c r="B51" s="27"/>
      <c r="C51" s="27"/>
      <c r="D51" s="27"/>
      <c r="F51" s="24"/>
      <c r="G51" s="24"/>
      <c r="H51" s="24"/>
      <c r="I51" s="24"/>
      <c r="J51" s="24"/>
      <c r="K51" s="24"/>
      <c r="L51" s="24"/>
      <c r="M51" s="25"/>
    </row>
    <row r="52" spans="1:13" x14ac:dyDescent="0.35">
      <c r="A52" s="7" t="s">
        <v>1</v>
      </c>
      <c r="B52" s="28"/>
      <c r="C52" s="28"/>
      <c r="D52" s="28"/>
      <c r="F52" s="24"/>
      <c r="G52" s="24"/>
      <c r="H52" s="24"/>
      <c r="I52" s="24"/>
      <c r="J52" s="24"/>
      <c r="K52" s="24"/>
      <c r="L52" s="24"/>
      <c r="M52" s="25"/>
    </row>
    <row r="53" spans="1:13" x14ac:dyDescent="0.35">
      <c r="A53" s="8" t="s">
        <v>2</v>
      </c>
      <c r="B53" s="29"/>
      <c r="C53" s="29"/>
      <c r="D53" s="29"/>
      <c r="F53" s="24"/>
      <c r="G53" s="24"/>
      <c r="H53" s="24"/>
      <c r="I53" s="24"/>
      <c r="J53" s="24"/>
      <c r="K53" s="24"/>
      <c r="L53" s="24"/>
      <c r="M53" s="25"/>
    </row>
    <row r="54" spans="1:13" x14ac:dyDescent="0.35">
      <c r="A54" s="4"/>
      <c r="M54" s="5"/>
    </row>
    <row r="55" spans="1:13" x14ac:dyDescent="0.35">
      <c r="A55" s="4" t="s">
        <v>3</v>
      </c>
      <c r="E55" s="61" t="s">
        <v>54</v>
      </c>
      <c r="F55" s="61"/>
      <c r="G55" s="61"/>
      <c r="H55" s="61"/>
      <c r="I55" s="61"/>
      <c r="J55" s="61"/>
      <c r="K55" s="61"/>
      <c r="L55" s="61"/>
      <c r="M55" s="62"/>
    </row>
    <row r="56" spans="1:13" x14ac:dyDescent="0.35">
      <c r="A56" s="4"/>
      <c r="E56" s="61"/>
      <c r="F56" s="61"/>
      <c r="G56" s="61"/>
      <c r="H56" s="61"/>
      <c r="I56" s="61"/>
      <c r="J56" s="61"/>
      <c r="K56" s="61"/>
      <c r="L56" s="61"/>
      <c r="M56" s="62"/>
    </row>
    <row r="57" spans="1:13" x14ac:dyDescent="0.35">
      <c r="A57" s="4"/>
      <c r="E57" s="61"/>
      <c r="F57" s="61"/>
      <c r="G57" s="61"/>
      <c r="H57" s="61"/>
      <c r="I57" s="61"/>
      <c r="J57" s="61"/>
      <c r="K57" s="61"/>
      <c r="L57" s="61"/>
      <c r="M57" s="62"/>
    </row>
    <row r="58" spans="1:13" ht="15" thickBot="1" x14ac:dyDescent="0.4">
      <c r="A58" s="9"/>
      <c r="B58" s="34"/>
      <c r="C58" s="34"/>
      <c r="D58" s="34"/>
      <c r="E58" s="63"/>
      <c r="F58" s="63"/>
      <c r="G58" s="63"/>
      <c r="H58" s="63"/>
      <c r="I58" s="63"/>
      <c r="J58" s="63"/>
      <c r="K58" s="63"/>
      <c r="L58" s="63"/>
      <c r="M58" s="64"/>
    </row>
    <row r="60" spans="1:13" ht="15" thickBot="1" x14ac:dyDescent="0.4"/>
    <row r="61" spans="1:13" ht="21" x14ac:dyDescent="0.5">
      <c r="A61" s="23" t="s">
        <v>12</v>
      </c>
      <c r="B61" s="35"/>
      <c r="C61" s="35"/>
      <c r="D61" s="35"/>
      <c r="E61" s="2"/>
      <c r="F61" s="2" t="s">
        <v>4</v>
      </c>
      <c r="G61" s="2"/>
      <c r="H61" s="2" t="s">
        <v>67</v>
      </c>
      <c r="I61" s="2" t="s">
        <v>5</v>
      </c>
      <c r="J61" s="2" t="s">
        <v>6</v>
      </c>
      <c r="K61" s="2"/>
      <c r="L61" s="2" t="s">
        <v>7</v>
      </c>
      <c r="M61" s="3" t="s">
        <v>8</v>
      </c>
    </row>
    <row r="62" spans="1:13" x14ac:dyDescent="0.35">
      <c r="A62" s="4">
        <v>13</v>
      </c>
      <c r="M62" s="5"/>
    </row>
    <row r="63" spans="1:13" x14ac:dyDescent="0.35">
      <c r="A63" s="6" t="s">
        <v>0</v>
      </c>
      <c r="B63" s="27"/>
      <c r="C63" s="27"/>
      <c r="D63" s="27"/>
      <c r="F63" s="24"/>
      <c r="G63" s="24"/>
      <c r="H63" s="24"/>
      <c r="I63" s="24"/>
      <c r="J63" s="24"/>
      <c r="K63" s="24"/>
      <c r="L63" s="24"/>
      <c r="M63" s="24"/>
    </row>
    <row r="64" spans="1:13" x14ac:dyDescent="0.35">
      <c r="A64" s="7" t="s">
        <v>1</v>
      </c>
      <c r="B64" s="28"/>
      <c r="C64" s="28"/>
      <c r="D64" s="28"/>
      <c r="F64" s="24"/>
      <c r="G64" s="24"/>
      <c r="H64" s="24"/>
      <c r="I64" s="24"/>
      <c r="J64" s="24"/>
      <c r="K64" s="24"/>
      <c r="L64" s="24"/>
      <c r="M64" s="25"/>
    </row>
    <row r="65" spans="1:13" x14ac:dyDescent="0.35">
      <c r="A65" s="8" t="s">
        <v>2</v>
      </c>
      <c r="B65" s="29"/>
      <c r="C65" s="29"/>
      <c r="D65" s="29"/>
      <c r="F65" s="24"/>
      <c r="G65" s="24"/>
      <c r="H65" s="24"/>
      <c r="I65" s="24"/>
      <c r="J65" s="24"/>
      <c r="K65" s="24"/>
      <c r="L65" s="24"/>
      <c r="M65" s="25"/>
    </row>
    <row r="66" spans="1:13" x14ac:dyDescent="0.35">
      <c r="A66" s="4"/>
      <c r="M66" s="5"/>
    </row>
    <row r="67" spans="1:13" x14ac:dyDescent="0.35">
      <c r="A67" s="4" t="s">
        <v>3</v>
      </c>
      <c r="E67" s="61" t="s">
        <v>54</v>
      </c>
      <c r="F67" s="61"/>
      <c r="G67" s="61"/>
      <c r="H67" s="61"/>
      <c r="I67" s="61"/>
      <c r="J67" s="61"/>
      <c r="K67" s="61"/>
      <c r="L67" s="61"/>
      <c r="M67" s="62"/>
    </row>
    <row r="68" spans="1:13" x14ac:dyDescent="0.35">
      <c r="A68" s="4"/>
      <c r="E68" s="61"/>
      <c r="F68" s="61"/>
      <c r="G68" s="61"/>
      <c r="H68" s="61"/>
      <c r="I68" s="61"/>
      <c r="J68" s="61"/>
      <c r="K68" s="61"/>
      <c r="L68" s="61"/>
      <c r="M68" s="62"/>
    </row>
    <row r="69" spans="1:13" x14ac:dyDescent="0.35">
      <c r="A69" s="4"/>
      <c r="E69" s="61"/>
      <c r="F69" s="61"/>
      <c r="G69" s="61"/>
      <c r="H69" s="61"/>
      <c r="I69" s="61"/>
      <c r="J69" s="61"/>
      <c r="K69" s="61"/>
      <c r="L69" s="61"/>
      <c r="M69" s="62"/>
    </row>
    <row r="70" spans="1:13" ht="15" thickBot="1" x14ac:dyDescent="0.4">
      <c r="A70" s="9"/>
      <c r="B70" s="34"/>
      <c r="C70" s="34"/>
      <c r="D70" s="34"/>
      <c r="E70" s="63"/>
      <c r="F70" s="63"/>
      <c r="G70" s="63"/>
      <c r="H70" s="63"/>
      <c r="I70" s="63"/>
      <c r="J70" s="63"/>
      <c r="K70" s="63"/>
      <c r="L70" s="63"/>
      <c r="M70" s="64"/>
    </row>
    <row r="72" spans="1:13" ht="15" thickBot="1" x14ac:dyDescent="0.4"/>
    <row r="73" spans="1:13" ht="21" x14ac:dyDescent="0.5">
      <c r="A73" s="40" t="s">
        <v>13</v>
      </c>
      <c r="B73" s="33"/>
      <c r="C73" s="33"/>
      <c r="D73" s="33"/>
      <c r="E73" s="2"/>
      <c r="F73" s="2" t="s">
        <v>4</v>
      </c>
      <c r="G73" s="2"/>
      <c r="H73" s="2" t="s">
        <v>67</v>
      </c>
      <c r="I73" s="2" t="s">
        <v>5</v>
      </c>
      <c r="J73" s="2" t="s">
        <v>6</v>
      </c>
      <c r="K73" s="2"/>
      <c r="L73" s="2" t="s">
        <v>7</v>
      </c>
      <c r="M73" s="3" t="s">
        <v>8</v>
      </c>
    </row>
    <row r="74" spans="1:13" x14ac:dyDescent="0.35">
      <c r="A74" s="4">
        <v>13</v>
      </c>
      <c r="M74" s="5"/>
    </row>
    <row r="75" spans="1:13" x14ac:dyDescent="0.35">
      <c r="A75" s="6" t="s">
        <v>0</v>
      </c>
      <c r="B75" s="27"/>
      <c r="C75" s="27">
        <v>0.12</v>
      </c>
      <c r="D75" s="27"/>
      <c r="F75" s="10" t="s">
        <v>66</v>
      </c>
      <c r="G75" s="10"/>
      <c r="H75">
        <v>62</v>
      </c>
      <c r="I75">
        <v>44</v>
      </c>
      <c r="J75">
        <v>4</v>
      </c>
      <c r="L75">
        <v>2</v>
      </c>
      <c r="M75" s="5">
        <v>2</v>
      </c>
    </row>
    <row r="76" spans="1:13" x14ac:dyDescent="0.35">
      <c r="A76" s="7" t="s">
        <v>1</v>
      </c>
      <c r="B76" s="28"/>
      <c r="C76" s="28">
        <v>0.15</v>
      </c>
      <c r="D76" s="28"/>
      <c r="F76" s="10" t="s">
        <v>55</v>
      </c>
      <c r="G76" s="10"/>
      <c r="H76">
        <v>59</v>
      </c>
      <c r="I76">
        <v>56</v>
      </c>
      <c r="J76">
        <v>4</v>
      </c>
      <c r="L76">
        <v>3</v>
      </c>
      <c r="M76" s="5">
        <v>2</v>
      </c>
    </row>
    <row r="77" spans="1:13" x14ac:dyDescent="0.35">
      <c r="A77" s="8" t="s">
        <v>2</v>
      </c>
      <c r="B77" s="29"/>
      <c r="C77" s="29"/>
      <c r="D77" s="29"/>
      <c r="F77" s="10" t="s">
        <v>55</v>
      </c>
      <c r="G77" s="10"/>
      <c r="H77">
        <v>62</v>
      </c>
      <c r="I77">
        <v>43</v>
      </c>
      <c r="J77">
        <v>3</v>
      </c>
      <c r="L77">
        <v>3</v>
      </c>
      <c r="M77" s="5">
        <v>2</v>
      </c>
    </row>
    <row r="78" spans="1:13" x14ac:dyDescent="0.35">
      <c r="A78" s="4"/>
      <c r="M78" s="5"/>
    </row>
    <row r="79" spans="1:13" x14ac:dyDescent="0.35">
      <c r="A79" s="4" t="s">
        <v>3</v>
      </c>
      <c r="E79" s="61" t="s">
        <v>70</v>
      </c>
      <c r="F79" s="61"/>
      <c r="G79" s="61"/>
      <c r="H79" s="61"/>
      <c r="I79" s="61"/>
      <c r="J79" s="61"/>
      <c r="K79" s="61"/>
      <c r="L79" s="61"/>
      <c r="M79" s="62"/>
    </row>
    <row r="80" spans="1:13" x14ac:dyDescent="0.35">
      <c r="A80" s="4"/>
      <c r="E80" s="61"/>
      <c r="F80" s="61"/>
      <c r="G80" s="61"/>
      <c r="H80" s="61"/>
      <c r="I80" s="61"/>
      <c r="J80" s="61"/>
      <c r="K80" s="61"/>
      <c r="L80" s="61"/>
      <c r="M80" s="62"/>
    </row>
    <row r="81" spans="1:14" x14ac:dyDescent="0.35">
      <c r="A81" s="4"/>
      <c r="E81" s="61"/>
      <c r="F81" s="61"/>
      <c r="G81" s="61"/>
      <c r="H81" s="61"/>
      <c r="I81" s="61"/>
      <c r="J81" s="61"/>
      <c r="K81" s="61"/>
      <c r="L81" s="61"/>
      <c r="M81" s="62"/>
    </row>
    <row r="82" spans="1:14" ht="15" thickBot="1" x14ac:dyDescent="0.4">
      <c r="A82" s="9"/>
      <c r="B82" s="34"/>
      <c r="C82" s="34"/>
      <c r="D82" s="34"/>
      <c r="E82" s="63"/>
      <c r="F82" s="63"/>
      <c r="G82" s="63"/>
      <c r="H82" s="63"/>
      <c r="I82" s="63"/>
      <c r="J82" s="63"/>
      <c r="K82" s="63"/>
      <c r="L82" s="63"/>
      <c r="M82" s="64"/>
    </row>
    <row r="83" spans="1:14" x14ac:dyDescent="0.35">
      <c r="E83" s="1"/>
      <c r="F83" s="1"/>
      <c r="G83" s="1"/>
      <c r="H83" s="1"/>
      <c r="I83" s="1"/>
      <c r="J83" s="1"/>
      <c r="K83" s="1"/>
      <c r="L83" s="1"/>
      <c r="M83" s="1"/>
    </row>
    <row r="84" spans="1:14" ht="15" thickBot="1" x14ac:dyDescent="0.4">
      <c r="E84" s="1"/>
      <c r="F84" s="1"/>
      <c r="G84" s="1"/>
      <c r="H84" s="1"/>
      <c r="I84" s="1"/>
      <c r="J84" s="1"/>
      <c r="K84" s="1"/>
      <c r="L84" s="1"/>
      <c r="M84" s="1"/>
    </row>
    <row r="85" spans="1:14" ht="21" x14ac:dyDescent="0.5">
      <c r="A85" s="23" t="s">
        <v>56</v>
      </c>
      <c r="B85" s="35"/>
      <c r="C85" s="35"/>
      <c r="D85" s="35"/>
      <c r="E85" s="2"/>
      <c r="F85" s="2" t="s">
        <v>4</v>
      </c>
      <c r="G85" s="2"/>
      <c r="H85" s="2" t="s">
        <v>67</v>
      </c>
      <c r="I85" s="2" t="s">
        <v>5</v>
      </c>
      <c r="J85" s="2" t="s">
        <v>6</v>
      </c>
      <c r="K85" s="2"/>
      <c r="L85" s="2" t="s">
        <v>7</v>
      </c>
      <c r="M85" s="3" t="s">
        <v>8</v>
      </c>
    </row>
    <row r="86" spans="1:14" x14ac:dyDescent="0.35">
      <c r="A86" s="4">
        <v>13</v>
      </c>
      <c r="M86" s="5"/>
    </row>
    <row r="87" spans="1:14" x14ac:dyDescent="0.35">
      <c r="A87" s="6" t="s">
        <v>0</v>
      </c>
      <c r="B87" s="27"/>
      <c r="C87" s="27"/>
      <c r="D87" s="27"/>
      <c r="F87" s="26"/>
      <c r="G87" s="26"/>
      <c r="H87" s="24"/>
      <c r="I87" s="24"/>
      <c r="J87" s="24"/>
      <c r="K87" s="24"/>
      <c r="L87" s="24"/>
      <c r="M87" s="25"/>
      <c r="N87" t="s">
        <v>0</v>
      </c>
    </row>
    <row r="88" spans="1:14" x14ac:dyDescent="0.35">
      <c r="A88" s="7" t="s">
        <v>1</v>
      </c>
      <c r="B88" s="28"/>
      <c r="C88" s="28"/>
      <c r="D88" s="28"/>
      <c r="F88" s="26"/>
      <c r="G88" s="26"/>
      <c r="H88" s="24"/>
      <c r="I88" s="24"/>
      <c r="J88" s="24"/>
      <c r="K88" s="24"/>
      <c r="L88" s="24"/>
      <c r="M88" s="25"/>
    </row>
    <row r="89" spans="1:14" x14ac:dyDescent="0.35">
      <c r="A89" s="8" t="s">
        <v>2</v>
      </c>
      <c r="B89" s="29"/>
      <c r="C89" s="29"/>
      <c r="D89" s="29"/>
      <c r="F89" s="26"/>
      <c r="G89" s="26"/>
      <c r="H89" s="24"/>
      <c r="I89" s="24"/>
      <c r="J89" s="24"/>
      <c r="K89" s="24"/>
      <c r="L89" s="24"/>
      <c r="M89" s="25"/>
    </row>
    <row r="90" spans="1:14" x14ac:dyDescent="0.35">
      <c r="A90" s="4"/>
      <c r="M90" s="5"/>
      <c r="N90" t="s">
        <v>1</v>
      </c>
    </row>
    <row r="91" spans="1:14" x14ac:dyDescent="0.35">
      <c r="A91" s="4" t="s">
        <v>3</v>
      </c>
      <c r="E91" s="57" t="s">
        <v>57</v>
      </c>
      <c r="F91" s="57"/>
      <c r="G91" s="57"/>
      <c r="H91" s="57"/>
      <c r="I91" s="57"/>
      <c r="J91" s="57"/>
      <c r="K91" s="57"/>
      <c r="L91" s="57"/>
      <c r="M91" s="58"/>
    </row>
    <row r="92" spans="1:14" x14ac:dyDescent="0.35">
      <c r="A92" s="4"/>
      <c r="E92" s="57"/>
      <c r="F92" s="57"/>
      <c r="G92" s="57"/>
      <c r="H92" s="57"/>
      <c r="I92" s="57"/>
      <c r="J92" s="57"/>
      <c r="K92" s="57"/>
      <c r="L92" s="57"/>
      <c r="M92" s="58"/>
    </row>
    <row r="93" spans="1:14" x14ac:dyDescent="0.35">
      <c r="A93" s="4"/>
      <c r="E93" s="57"/>
      <c r="F93" s="57"/>
      <c r="G93" s="57"/>
      <c r="H93" s="57"/>
      <c r="I93" s="57"/>
      <c r="J93" s="57"/>
      <c r="K93" s="57"/>
      <c r="L93" s="57"/>
      <c r="M93" s="58"/>
    </row>
    <row r="94" spans="1:14" ht="15" thickBot="1" x14ac:dyDescent="0.4">
      <c r="A94" s="9"/>
      <c r="B94" s="34"/>
      <c r="C94" s="34"/>
      <c r="D94" s="34"/>
      <c r="E94" s="59"/>
      <c r="F94" s="59"/>
      <c r="G94" s="59"/>
      <c r="H94" s="59"/>
      <c r="I94" s="59"/>
      <c r="J94" s="59"/>
      <c r="K94" s="59"/>
      <c r="L94" s="59"/>
      <c r="M94" s="60"/>
    </row>
    <row r="96" spans="1:14" ht="15" thickBot="1" x14ac:dyDescent="0.4"/>
    <row r="97" spans="1:13" ht="21" x14ac:dyDescent="0.5">
      <c r="A97" s="40" t="s">
        <v>14</v>
      </c>
      <c r="B97" s="33"/>
      <c r="C97" s="33"/>
      <c r="D97" s="33"/>
      <c r="E97" s="2"/>
      <c r="F97" s="2" t="s">
        <v>4</v>
      </c>
      <c r="G97" s="2"/>
      <c r="H97" s="2" t="s">
        <v>67</v>
      </c>
      <c r="I97" s="2" t="s">
        <v>5</v>
      </c>
      <c r="J97" s="2" t="s">
        <v>6</v>
      </c>
      <c r="K97" s="2"/>
      <c r="L97" s="2" t="s">
        <v>7</v>
      </c>
      <c r="M97" s="3" t="s">
        <v>8</v>
      </c>
    </row>
    <row r="98" spans="1:13" x14ac:dyDescent="0.35">
      <c r="A98" s="4">
        <v>13</v>
      </c>
      <c r="M98" s="5"/>
    </row>
    <row r="99" spans="1:13" x14ac:dyDescent="0.35">
      <c r="A99" s="6" t="s">
        <v>0</v>
      </c>
      <c r="B99" s="27"/>
      <c r="C99" s="27">
        <v>0.09</v>
      </c>
      <c r="D99" s="27"/>
      <c r="F99" s="10" t="s">
        <v>29</v>
      </c>
      <c r="G99" s="10"/>
      <c r="I99">
        <v>48.3</v>
      </c>
      <c r="J99">
        <v>1.5</v>
      </c>
      <c r="L99">
        <v>1</v>
      </c>
      <c r="M99" s="5">
        <v>2</v>
      </c>
    </row>
    <row r="100" spans="1:13" x14ac:dyDescent="0.35">
      <c r="A100" s="7" t="s">
        <v>1</v>
      </c>
      <c r="B100" s="28"/>
      <c r="C100" s="28"/>
      <c r="D100" s="28"/>
      <c r="F100" s="12"/>
      <c r="G100" s="12"/>
      <c r="H100" s="12"/>
      <c r="I100" s="12"/>
      <c r="J100" s="12"/>
      <c r="K100" s="12"/>
      <c r="L100" s="12"/>
      <c r="M100" s="13"/>
    </row>
    <row r="101" spans="1:13" x14ac:dyDescent="0.35">
      <c r="A101" s="8" t="s">
        <v>2</v>
      </c>
      <c r="B101" s="29"/>
      <c r="C101" s="29"/>
      <c r="D101" s="29"/>
      <c r="F101" s="21"/>
      <c r="G101" s="21"/>
      <c r="H101" s="21"/>
      <c r="I101" s="21"/>
      <c r="J101" s="21"/>
      <c r="K101" s="21"/>
      <c r="L101" s="21"/>
      <c r="M101" s="22"/>
    </row>
    <row r="102" spans="1:13" x14ac:dyDescent="0.35">
      <c r="A102" s="4"/>
      <c r="M102" s="5"/>
    </row>
    <row r="103" spans="1:13" x14ac:dyDescent="0.35">
      <c r="A103" s="4" t="s">
        <v>3</v>
      </c>
      <c r="E103" s="57"/>
      <c r="F103" s="57"/>
      <c r="G103" s="57"/>
      <c r="H103" s="57"/>
      <c r="I103" s="57"/>
      <c r="J103" s="57"/>
      <c r="K103" s="57"/>
      <c r="L103" s="57"/>
      <c r="M103" s="58"/>
    </row>
    <row r="104" spans="1:13" x14ac:dyDescent="0.35">
      <c r="A104" s="4"/>
      <c r="E104" s="57"/>
      <c r="F104" s="57"/>
      <c r="G104" s="57"/>
      <c r="H104" s="57"/>
      <c r="I104" s="57"/>
      <c r="J104" s="57"/>
      <c r="K104" s="57"/>
      <c r="L104" s="57"/>
      <c r="M104" s="58"/>
    </row>
    <row r="105" spans="1:13" x14ac:dyDescent="0.35">
      <c r="A105" s="4"/>
      <c r="E105" s="57"/>
      <c r="F105" s="57"/>
      <c r="G105" s="57"/>
      <c r="H105" s="57"/>
      <c r="I105" s="57"/>
      <c r="J105" s="57"/>
      <c r="K105" s="57"/>
      <c r="L105" s="57"/>
      <c r="M105" s="58"/>
    </row>
    <row r="106" spans="1:13" ht="15" thickBot="1" x14ac:dyDescent="0.4">
      <c r="A106" s="9"/>
      <c r="B106" s="34"/>
      <c r="C106" s="34"/>
      <c r="D106" s="34"/>
      <c r="E106" s="59"/>
      <c r="F106" s="59"/>
      <c r="G106" s="59"/>
      <c r="H106" s="59"/>
      <c r="I106" s="59"/>
      <c r="J106" s="59"/>
      <c r="K106" s="59"/>
      <c r="L106" s="59"/>
      <c r="M106" s="60"/>
    </row>
    <row r="108" spans="1:13" ht="15" thickBot="1" x14ac:dyDescent="0.4"/>
    <row r="109" spans="1:13" ht="21" x14ac:dyDescent="0.5">
      <c r="A109" s="23" t="s">
        <v>15</v>
      </c>
      <c r="B109" s="35"/>
      <c r="C109" s="35"/>
      <c r="D109" s="35"/>
      <c r="E109" s="2"/>
      <c r="F109" s="2" t="s">
        <v>4</v>
      </c>
      <c r="G109" s="2"/>
      <c r="H109" s="2" t="s">
        <v>67</v>
      </c>
      <c r="I109" s="2" t="s">
        <v>5</v>
      </c>
      <c r="J109" s="2" t="s">
        <v>6</v>
      </c>
      <c r="K109" s="2"/>
      <c r="L109" s="2" t="s">
        <v>7</v>
      </c>
      <c r="M109" s="3" t="s">
        <v>8</v>
      </c>
    </row>
    <row r="110" spans="1:13" x14ac:dyDescent="0.35">
      <c r="A110" s="4">
        <v>13</v>
      </c>
      <c r="M110" s="5"/>
    </row>
    <row r="111" spans="1:13" x14ac:dyDescent="0.35">
      <c r="A111" s="6" t="s">
        <v>0</v>
      </c>
      <c r="B111" s="27"/>
      <c r="C111" s="27"/>
      <c r="D111" s="27"/>
      <c r="F111" s="12"/>
      <c r="G111" s="12"/>
      <c r="H111" s="12"/>
      <c r="I111" s="12"/>
      <c r="J111" s="12"/>
      <c r="K111" s="12"/>
      <c r="L111" s="12"/>
      <c r="M111" s="13"/>
    </row>
    <row r="112" spans="1:13" x14ac:dyDescent="0.35">
      <c r="A112" s="7" t="s">
        <v>1</v>
      </c>
      <c r="B112" s="28"/>
      <c r="C112" s="28"/>
      <c r="D112" s="28"/>
      <c r="F112" s="12"/>
      <c r="G112" s="12"/>
      <c r="H112" s="12"/>
      <c r="I112" s="12"/>
      <c r="J112" s="12"/>
      <c r="K112" s="12"/>
      <c r="L112" s="12"/>
      <c r="M112" s="13"/>
    </row>
    <row r="113" spans="1:13" x14ac:dyDescent="0.35">
      <c r="A113" s="8" t="s">
        <v>2</v>
      </c>
      <c r="B113" s="29"/>
      <c r="C113" s="29"/>
      <c r="D113" s="29"/>
      <c r="F113" s="12"/>
      <c r="G113" s="12"/>
      <c r="H113" s="12"/>
      <c r="I113" s="12"/>
      <c r="J113" s="12"/>
      <c r="K113" s="12"/>
      <c r="L113" s="12"/>
      <c r="M113" s="13"/>
    </row>
    <row r="114" spans="1:13" x14ac:dyDescent="0.35">
      <c r="A114" s="4"/>
      <c r="M114" s="5"/>
    </row>
    <row r="115" spans="1:13" x14ac:dyDescent="0.35">
      <c r="A115" s="4" t="s">
        <v>3</v>
      </c>
      <c r="E115" s="57" t="s">
        <v>28</v>
      </c>
      <c r="F115" s="57"/>
      <c r="G115" s="57"/>
      <c r="H115" s="57"/>
      <c r="I115" s="57"/>
      <c r="J115" s="57"/>
      <c r="K115" s="57"/>
      <c r="L115" s="57"/>
      <c r="M115" s="58"/>
    </row>
    <row r="116" spans="1:13" x14ac:dyDescent="0.35">
      <c r="A116" s="4"/>
      <c r="E116" s="57"/>
      <c r="F116" s="57"/>
      <c r="G116" s="57"/>
      <c r="H116" s="57"/>
      <c r="I116" s="57"/>
      <c r="J116" s="57"/>
      <c r="K116" s="57"/>
      <c r="L116" s="57"/>
      <c r="M116" s="58"/>
    </row>
    <row r="117" spans="1:13" x14ac:dyDescent="0.35">
      <c r="A117" s="4"/>
      <c r="E117" s="57"/>
      <c r="F117" s="57"/>
      <c r="G117" s="57"/>
      <c r="H117" s="57"/>
      <c r="I117" s="57"/>
      <c r="J117" s="57"/>
      <c r="K117" s="57"/>
      <c r="L117" s="57"/>
      <c r="M117" s="58"/>
    </row>
    <row r="118" spans="1:13" ht="15" thickBot="1" x14ac:dyDescent="0.4">
      <c r="A118" s="9"/>
      <c r="B118" s="34"/>
      <c r="C118" s="34"/>
      <c r="D118" s="34"/>
      <c r="E118" s="59"/>
      <c r="F118" s="59"/>
      <c r="G118" s="59"/>
      <c r="H118" s="59"/>
      <c r="I118" s="59"/>
      <c r="J118" s="59"/>
      <c r="K118" s="59"/>
      <c r="L118" s="59"/>
      <c r="M118" s="60"/>
    </row>
    <row r="120" spans="1:13" ht="15" thickBot="1" x14ac:dyDescent="0.4"/>
    <row r="121" spans="1:13" ht="21" x14ac:dyDescent="0.5">
      <c r="A121" s="23" t="s">
        <v>18</v>
      </c>
      <c r="B121" s="35"/>
      <c r="C121" s="35"/>
      <c r="D121" s="35"/>
      <c r="E121" s="2"/>
      <c r="F121" s="2" t="s">
        <v>4</v>
      </c>
      <c r="G121" s="2"/>
      <c r="H121" s="2" t="s">
        <v>67</v>
      </c>
      <c r="I121" s="2" t="s">
        <v>5</v>
      </c>
      <c r="J121" s="2" t="s">
        <v>6</v>
      </c>
      <c r="K121" s="2"/>
      <c r="L121" s="2" t="s">
        <v>7</v>
      </c>
      <c r="M121" s="3" t="s">
        <v>8</v>
      </c>
    </row>
    <row r="122" spans="1:13" x14ac:dyDescent="0.35">
      <c r="A122" s="4">
        <v>13</v>
      </c>
      <c r="M122" s="5"/>
    </row>
    <row r="123" spans="1:13" x14ac:dyDescent="0.35">
      <c r="A123" s="6" t="s">
        <v>0</v>
      </c>
      <c r="B123" s="27"/>
      <c r="C123" s="27"/>
      <c r="D123" s="27"/>
      <c r="F123" s="24"/>
      <c r="G123" s="24"/>
      <c r="H123" s="24"/>
      <c r="I123" s="24"/>
      <c r="J123" s="24"/>
      <c r="K123" s="24"/>
      <c r="L123" s="24"/>
      <c r="M123" s="25"/>
    </row>
    <row r="124" spans="1:13" x14ac:dyDescent="0.35">
      <c r="A124" s="7" t="s">
        <v>1</v>
      </c>
      <c r="B124" s="28"/>
      <c r="C124" s="28"/>
      <c r="D124" s="28"/>
      <c r="F124" s="12"/>
      <c r="G124" s="12"/>
      <c r="H124" s="12"/>
      <c r="I124" s="12"/>
      <c r="J124" s="12"/>
      <c r="K124" s="12"/>
      <c r="L124" s="12"/>
      <c r="M124" s="13"/>
    </row>
    <row r="125" spans="1:13" x14ac:dyDescent="0.35">
      <c r="A125" s="8" t="s">
        <v>2</v>
      </c>
      <c r="B125" s="29"/>
      <c r="C125" s="29"/>
      <c r="D125" s="29"/>
      <c r="F125" s="12"/>
      <c r="G125" s="12"/>
      <c r="H125" s="12"/>
      <c r="I125" s="12"/>
      <c r="J125" s="12"/>
      <c r="K125" s="12"/>
      <c r="L125" s="12"/>
      <c r="M125" s="13"/>
    </row>
    <row r="126" spans="1:13" x14ac:dyDescent="0.35">
      <c r="A126" s="4"/>
      <c r="M126" s="5"/>
    </row>
    <row r="127" spans="1:13" x14ac:dyDescent="0.35">
      <c r="A127" s="4" t="s">
        <v>3</v>
      </c>
      <c r="E127" s="57"/>
      <c r="F127" s="57"/>
      <c r="G127" s="57"/>
      <c r="H127" s="57"/>
      <c r="I127" s="57"/>
      <c r="J127" s="57"/>
      <c r="K127" s="57"/>
      <c r="L127" s="57"/>
      <c r="M127" s="58"/>
    </row>
    <row r="128" spans="1:13" x14ac:dyDescent="0.35">
      <c r="A128" s="4"/>
      <c r="E128" s="57"/>
      <c r="F128" s="57"/>
      <c r="G128" s="57"/>
      <c r="H128" s="57"/>
      <c r="I128" s="57"/>
      <c r="J128" s="57"/>
      <c r="K128" s="57"/>
      <c r="L128" s="57"/>
      <c r="M128" s="58"/>
    </row>
    <row r="129" spans="1:13" x14ac:dyDescent="0.35">
      <c r="A129" s="4"/>
      <c r="E129" s="57"/>
      <c r="F129" s="57"/>
      <c r="G129" s="57"/>
      <c r="H129" s="57"/>
      <c r="I129" s="57"/>
      <c r="J129" s="57"/>
      <c r="K129" s="57"/>
      <c r="L129" s="57"/>
      <c r="M129" s="58"/>
    </row>
    <row r="130" spans="1:13" ht="15" thickBot="1" x14ac:dyDescent="0.4">
      <c r="A130" s="9"/>
      <c r="B130" s="34"/>
      <c r="C130" s="34"/>
      <c r="D130" s="34"/>
      <c r="E130" s="59"/>
      <c r="F130" s="59"/>
      <c r="G130" s="59"/>
      <c r="H130" s="59"/>
      <c r="I130" s="59"/>
      <c r="J130" s="59"/>
      <c r="K130" s="59"/>
      <c r="L130" s="59"/>
      <c r="M130" s="60"/>
    </row>
    <row r="132" spans="1:13" ht="15" thickBot="1" x14ac:dyDescent="0.4"/>
    <row r="133" spans="1:13" ht="21" x14ac:dyDescent="0.5">
      <c r="A133" s="23" t="s">
        <v>19</v>
      </c>
      <c r="B133" s="35"/>
      <c r="C133" s="35"/>
      <c r="D133" s="35"/>
      <c r="E133" s="2"/>
      <c r="F133" s="2" t="s">
        <v>4</v>
      </c>
      <c r="G133" s="2"/>
      <c r="H133" s="2" t="s">
        <v>67</v>
      </c>
      <c r="I133" s="2" t="s">
        <v>5</v>
      </c>
      <c r="J133" s="2" t="s">
        <v>6</v>
      </c>
      <c r="K133" s="2"/>
      <c r="L133" s="2" t="s">
        <v>7</v>
      </c>
      <c r="M133" s="3" t="s">
        <v>8</v>
      </c>
    </row>
    <row r="134" spans="1:13" x14ac:dyDescent="0.35">
      <c r="A134" s="4">
        <v>13</v>
      </c>
      <c r="M134" s="5"/>
    </row>
    <row r="135" spans="1:13" x14ac:dyDescent="0.35">
      <c r="A135" s="6" t="s">
        <v>0</v>
      </c>
      <c r="B135" s="27"/>
      <c r="C135" s="27"/>
      <c r="D135" s="27"/>
      <c r="F135" s="12"/>
      <c r="G135" s="12"/>
      <c r="H135" s="12"/>
      <c r="I135" s="12"/>
      <c r="J135" s="12"/>
      <c r="K135" s="12"/>
      <c r="L135" s="12"/>
      <c r="M135" s="13"/>
    </row>
    <row r="136" spans="1:13" x14ac:dyDescent="0.35">
      <c r="A136" s="7" t="s">
        <v>1</v>
      </c>
      <c r="B136" s="28"/>
      <c r="C136" s="28"/>
      <c r="D136" s="28"/>
      <c r="F136" s="12"/>
      <c r="G136" s="12"/>
      <c r="H136" s="12"/>
      <c r="I136" s="12"/>
      <c r="J136" s="12"/>
      <c r="K136" s="12"/>
      <c r="L136" s="12"/>
      <c r="M136" s="13"/>
    </row>
    <row r="137" spans="1:13" x14ac:dyDescent="0.35">
      <c r="A137" s="8" t="s">
        <v>2</v>
      </c>
      <c r="B137" s="29"/>
      <c r="C137" s="29"/>
      <c r="D137" s="29"/>
      <c r="F137" s="12"/>
      <c r="G137" s="12"/>
      <c r="H137" s="12"/>
      <c r="I137" s="12"/>
      <c r="J137" s="12"/>
      <c r="K137" s="12"/>
      <c r="L137" s="12"/>
      <c r="M137" s="13"/>
    </row>
    <row r="138" spans="1:13" x14ac:dyDescent="0.35">
      <c r="A138" s="4"/>
      <c r="M138" s="5"/>
    </row>
    <row r="139" spans="1:13" x14ac:dyDescent="0.35">
      <c r="A139" s="4" t="s">
        <v>3</v>
      </c>
      <c r="E139" s="57"/>
      <c r="F139" s="57"/>
      <c r="G139" s="57"/>
      <c r="H139" s="57"/>
      <c r="I139" s="57"/>
      <c r="J139" s="57"/>
      <c r="K139" s="57"/>
      <c r="L139" s="57"/>
      <c r="M139" s="58"/>
    </row>
    <row r="140" spans="1:13" x14ac:dyDescent="0.35">
      <c r="A140" s="4"/>
      <c r="E140" s="57"/>
      <c r="F140" s="57"/>
      <c r="G140" s="57"/>
      <c r="H140" s="57"/>
      <c r="I140" s="57"/>
      <c r="J140" s="57"/>
      <c r="K140" s="57"/>
      <c r="L140" s="57"/>
      <c r="M140" s="58"/>
    </row>
    <row r="141" spans="1:13" x14ac:dyDescent="0.35">
      <c r="A141" s="4"/>
      <c r="E141" s="57"/>
      <c r="F141" s="57"/>
      <c r="G141" s="57"/>
      <c r="H141" s="57"/>
      <c r="I141" s="57"/>
      <c r="J141" s="57"/>
      <c r="K141" s="57"/>
      <c r="L141" s="57"/>
      <c r="M141" s="58"/>
    </row>
    <row r="142" spans="1:13" ht="15" thickBot="1" x14ac:dyDescent="0.4">
      <c r="A142" s="9"/>
      <c r="B142" s="34"/>
      <c r="C142" s="34"/>
      <c r="D142" s="34"/>
      <c r="E142" s="59"/>
      <c r="F142" s="59"/>
      <c r="G142" s="59"/>
      <c r="H142" s="59"/>
      <c r="I142" s="59"/>
      <c r="J142" s="59"/>
      <c r="K142" s="59"/>
      <c r="L142" s="59"/>
      <c r="M142" s="60"/>
    </row>
    <row r="143" spans="1:13" x14ac:dyDescent="0.35"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ht="15" thickBot="1" x14ac:dyDescent="0.4"/>
    <row r="145" spans="1:14" ht="21" x14ac:dyDescent="0.5">
      <c r="A145" s="11" t="s">
        <v>142</v>
      </c>
      <c r="B145" s="33"/>
      <c r="C145" s="33"/>
      <c r="D145" s="33"/>
      <c r="E145" s="2"/>
      <c r="F145" s="2" t="s">
        <v>4</v>
      </c>
      <c r="G145" s="2"/>
      <c r="H145" s="2" t="s">
        <v>67</v>
      </c>
      <c r="I145" s="2" t="s">
        <v>5</v>
      </c>
      <c r="J145" s="2" t="s">
        <v>6</v>
      </c>
      <c r="K145" s="2"/>
      <c r="L145" s="2" t="s">
        <v>7</v>
      </c>
      <c r="M145" s="3" t="s">
        <v>8</v>
      </c>
    </row>
    <row r="146" spans="1:14" x14ac:dyDescent="0.35">
      <c r="A146" s="4">
        <v>13</v>
      </c>
      <c r="M146" s="5"/>
    </row>
    <row r="147" spans="1:14" x14ac:dyDescent="0.35">
      <c r="A147" s="6" t="s">
        <v>0</v>
      </c>
      <c r="B147" s="27"/>
      <c r="C147" s="27">
        <v>0.15</v>
      </c>
      <c r="D147" s="27"/>
      <c r="F147" s="10" t="s">
        <v>144</v>
      </c>
      <c r="H147">
        <v>71</v>
      </c>
      <c r="I147">
        <v>50</v>
      </c>
      <c r="J147">
        <v>5</v>
      </c>
      <c r="L147">
        <v>2</v>
      </c>
      <c r="M147" s="5">
        <v>2</v>
      </c>
    </row>
    <row r="148" spans="1:14" x14ac:dyDescent="0.35">
      <c r="A148" s="7" t="s">
        <v>1</v>
      </c>
      <c r="B148" s="28"/>
      <c r="C148" s="28"/>
      <c r="D148" s="28"/>
      <c r="F148" s="24"/>
      <c r="G148" s="24"/>
      <c r="H148" s="24"/>
      <c r="I148" s="24"/>
      <c r="J148" s="24"/>
      <c r="K148" s="24"/>
      <c r="L148" s="24"/>
      <c r="M148" s="25"/>
    </row>
    <row r="149" spans="1:14" x14ac:dyDescent="0.35">
      <c r="A149" s="8" t="s">
        <v>2</v>
      </c>
      <c r="B149" s="29"/>
      <c r="C149" s="29"/>
      <c r="D149" s="29"/>
      <c r="F149" s="24"/>
      <c r="G149" s="24"/>
      <c r="H149" s="24"/>
      <c r="I149" s="24"/>
      <c r="J149" s="24"/>
      <c r="K149" s="24"/>
      <c r="L149" s="24"/>
      <c r="M149" s="25"/>
    </row>
    <row r="150" spans="1:14" x14ac:dyDescent="0.35">
      <c r="A150" s="4"/>
      <c r="M150" s="5"/>
    </row>
    <row r="151" spans="1:14" x14ac:dyDescent="0.35">
      <c r="A151" s="4" t="s">
        <v>3</v>
      </c>
      <c r="E151" s="57"/>
      <c r="F151" s="57"/>
      <c r="G151" s="57"/>
      <c r="H151" s="57"/>
      <c r="I151" s="57"/>
      <c r="J151" s="57"/>
      <c r="K151" s="57"/>
      <c r="L151" s="57"/>
      <c r="M151" s="58"/>
    </row>
    <row r="152" spans="1:14" x14ac:dyDescent="0.35">
      <c r="A152" s="4"/>
      <c r="E152" s="57"/>
      <c r="F152" s="57"/>
      <c r="G152" s="57"/>
      <c r="H152" s="57"/>
      <c r="I152" s="57"/>
      <c r="J152" s="57"/>
      <c r="K152" s="57"/>
      <c r="L152" s="57"/>
      <c r="M152" s="58"/>
      <c r="N152" t="s">
        <v>0</v>
      </c>
    </row>
    <row r="153" spans="1:14" ht="15" customHeight="1" x14ac:dyDescent="0.35">
      <c r="A153" s="4"/>
      <c r="E153" s="57"/>
      <c r="F153" s="57"/>
      <c r="G153" s="57"/>
      <c r="H153" s="57"/>
      <c r="I153" s="57"/>
      <c r="J153" s="57"/>
      <c r="K153" s="57"/>
      <c r="L153" s="57"/>
      <c r="M153" s="58"/>
      <c r="N153" t="s">
        <v>143</v>
      </c>
    </row>
    <row r="154" spans="1:14" ht="15" thickBot="1" x14ac:dyDescent="0.4">
      <c r="A154" s="9"/>
      <c r="B154" s="34"/>
      <c r="C154" s="34"/>
      <c r="D154" s="34"/>
      <c r="E154" s="59"/>
      <c r="F154" s="59"/>
      <c r="G154" s="59"/>
      <c r="H154" s="59"/>
      <c r="I154" s="59"/>
      <c r="J154" s="59"/>
      <c r="K154" s="59"/>
      <c r="L154" s="59"/>
      <c r="M154" s="60"/>
    </row>
    <row r="156" spans="1:14" ht="15" thickBot="1" x14ac:dyDescent="0.4"/>
    <row r="157" spans="1:14" ht="21" x14ac:dyDescent="0.5">
      <c r="A157" s="40" t="s">
        <v>20</v>
      </c>
      <c r="B157" s="35"/>
      <c r="C157" s="35"/>
      <c r="D157" s="35"/>
      <c r="E157" s="2"/>
      <c r="F157" s="2" t="s">
        <v>4</v>
      </c>
      <c r="G157" s="2"/>
      <c r="H157" s="2" t="s">
        <v>67</v>
      </c>
      <c r="I157" s="2" t="s">
        <v>5</v>
      </c>
      <c r="J157" s="2" t="s">
        <v>6</v>
      </c>
      <c r="K157" s="2"/>
      <c r="L157" s="2" t="s">
        <v>7</v>
      </c>
      <c r="M157" s="3" t="s">
        <v>8</v>
      </c>
    </row>
    <row r="158" spans="1:14" x14ac:dyDescent="0.35">
      <c r="A158" s="4">
        <v>13</v>
      </c>
      <c r="M158" s="5"/>
    </row>
    <row r="159" spans="1:14" x14ac:dyDescent="0.35">
      <c r="A159" s="6" t="s">
        <v>0</v>
      </c>
      <c r="B159" s="27"/>
      <c r="C159" s="27">
        <v>0.06</v>
      </c>
      <c r="D159" s="27"/>
      <c r="F159" s="10" t="s">
        <v>21</v>
      </c>
      <c r="G159" s="10"/>
      <c r="H159">
        <v>141</v>
      </c>
      <c r="I159">
        <v>48</v>
      </c>
      <c r="J159">
        <v>5</v>
      </c>
      <c r="L159">
        <v>4</v>
      </c>
      <c r="M159" s="5">
        <v>4</v>
      </c>
    </row>
    <row r="160" spans="1:14" x14ac:dyDescent="0.35">
      <c r="A160" s="7" t="s">
        <v>1</v>
      </c>
      <c r="B160" s="28"/>
      <c r="C160" s="28"/>
      <c r="D160" s="28"/>
      <c r="F160" s="12"/>
      <c r="G160" s="12"/>
      <c r="H160" s="12"/>
      <c r="I160" s="12"/>
      <c r="J160" s="12"/>
      <c r="K160" s="12"/>
      <c r="L160" s="12"/>
      <c r="M160" s="13"/>
    </row>
    <row r="161" spans="1:13" x14ac:dyDescent="0.35">
      <c r="A161" s="8" t="s">
        <v>2</v>
      </c>
      <c r="B161" s="29"/>
      <c r="C161" s="29"/>
      <c r="D161" s="29"/>
      <c r="F161" s="12"/>
      <c r="G161" s="12"/>
      <c r="H161" s="12"/>
      <c r="I161" s="12"/>
      <c r="J161" s="12"/>
      <c r="K161" s="12"/>
      <c r="L161" s="12"/>
      <c r="M161" s="13"/>
    </row>
    <row r="162" spans="1:13" x14ac:dyDescent="0.35">
      <c r="A162" s="4"/>
      <c r="M162" s="5"/>
    </row>
    <row r="163" spans="1:13" x14ac:dyDescent="0.35">
      <c r="A163" s="4" t="s">
        <v>3</v>
      </c>
      <c r="E163" s="57"/>
      <c r="F163" s="57"/>
      <c r="G163" s="57"/>
      <c r="H163" s="57"/>
      <c r="I163" s="57"/>
      <c r="J163" s="57"/>
      <c r="K163" s="57"/>
      <c r="L163" s="57"/>
      <c r="M163" s="58"/>
    </row>
    <row r="164" spans="1:13" x14ac:dyDescent="0.35">
      <c r="A164" s="4"/>
      <c r="E164" s="57"/>
      <c r="F164" s="57"/>
      <c r="G164" s="57"/>
      <c r="H164" s="57"/>
      <c r="I164" s="57"/>
      <c r="J164" s="57"/>
      <c r="K164" s="57"/>
      <c r="L164" s="57"/>
      <c r="M164" s="58"/>
    </row>
    <row r="165" spans="1:13" x14ac:dyDescent="0.35">
      <c r="A165" s="4"/>
      <c r="E165" s="57"/>
      <c r="F165" s="57"/>
      <c r="G165" s="57"/>
      <c r="H165" s="57"/>
      <c r="I165" s="57"/>
      <c r="J165" s="57"/>
      <c r="K165" s="57"/>
      <c r="L165" s="57"/>
      <c r="M165" s="58"/>
    </row>
    <row r="166" spans="1:13" ht="15" thickBot="1" x14ac:dyDescent="0.4">
      <c r="A166" s="9"/>
      <c r="B166" s="34"/>
      <c r="C166" s="34"/>
      <c r="D166" s="34"/>
      <c r="E166" s="59"/>
      <c r="F166" s="59"/>
      <c r="G166" s="59"/>
      <c r="H166" s="59"/>
      <c r="I166" s="59"/>
      <c r="J166" s="59"/>
      <c r="K166" s="59"/>
      <c r="L166" s="59"/>
      <c r="M166" s="60"/>
    </row>
    <row r="168" spans="1:13" ht="15" thickBot="1" x14ac:dyDescent="0.4"/>
    <row r="169" spans="1:13" ht="21" x14ac:dyDescent="0.5">
      <c r="A169" s="40" t="s">
        <v>22</v>
      </c>
      <c r="B169" s="33"/>
      <c r="C169" s="33"/>
      <c r="D169" s="33"/>
      <c r="E169" s="2"/>
      <c r="F169" s="2" t="s">
        <v>4</v>
      </c>
      <c r="G169" s="2"/>
      <c r="H169" s="2" t="s">
        <v>67</v>
      </c>
      <c r="I169" s="2" t="s">
        <v>5</v>
      </c>
      <c r="J169" s="2" t="s">
        <v>6</v>
      </c>
      <c r="K169" s="2"/>
      <c r="L169" s="2" t="s">
        <v>7</v>
      </c>
      <c r="M169" s="3" t="s">
        <v>8</v>
      </c>
    </row>
    <row r="170" spans="1:13" x14ac:dyDescent="0.35">
      <c r="A170" s="4">
        <v>13</v>
      </c>
      <c r="M170" s="5"/>
    </row>
    <row r="171" spans="1:13" x14ac:dyDescent="0.35">
      <c r="A171" s="6" t="s">
        <v>0</v>
      </c>
      <c r="B171" s="27"/>
      <c r="C171" s="27"/>
      <c r="D171" s="27"/>
      <c r="F171" s="12"/>
      <c r="G171" s="12"/>
      <c r="H171" s="12"/>
      <c r="I171" s="12"/>
      <c r="J171" s="12"/>
      <c r="K171" s="12"/>
      <c r="L171" s="12"/>
      <c r="M171" s="13"/>
    </row>
    <row r="172" spans="1:13" x14ac:dyDescent="0.35">
      <c r="A172" s="7" t="s">
        <v>1</v>
      </c>
      <c r="B172" s="28"/>
      <c r="C172" s="28">
        <v>0.12</v>
      </c>
      <c r="D172" s="38" t="s">
        <v>73</v>
      </c>
      <c r="F172" s="10" t="s">
        <v>23</v>
      </c>
      <c r="G172" s="10"/>
      <c r="H172">
        <v>136</v>
      </c>
      <c r="I172">
        <v>92</v>
      </c>
      <c r="J172">
        <v>5</v>
      </c>
      <c r="L172">
        <v>8</v>
      </c>
      <c r="M172" s="5">
        <v>8</v>
      </c>
    </row>
    <row r="173" spans="1:13" x14ac:dyDescent="0.35">
      <c r="A173" s="8" t="s">
        <v>2</v>
      </c>
      <c r="B173" s="29"/>
      <c r="C173" s="29"/>
      <c r="D173" s="29"/>
      <c r="F173" s="12"/>
      <c r="G173" s="12"/>
      <c r="H173" s="12"/>
      <c r="I173" s="12"/>
      <c r="J173" s="12"/>
      <c r="K173" s="12"/>
      <c r="L173" s="12"/>
      <c r="M173" s="13"/>
    </row>
    <row r="174" spans="1:13" x14ac:dyDescent="0.35">
      <c r="A174" s="4"/>
      <c r="M174" s="5"/>
    </row>
    <row r="175" spans="1:13" x14ac:dyDescent="0.35">
      <c r="A175" s="4" t="s">
        <v>3</v>
      </c>
      <c r="E175" s="1" t="s">
        <v>74</v>
      </c>
      <c r="F175" s="14"/>
      <c r="G175" s="14"/>
      <c r="H175" s="14"/>
      <c r="I175" s="14"/>
      <c r="J175" s="14"/>
      <c r="K175" s="14"/>
      <c r="L175" s="14"/>
      <c r="M175" s="15"/>
    </row>
    <row r="176" spans="1:13" x14ac:dyDescent="0.35">
      <c r="A176" s="4"/>
      <c r="E176" s="14"/>
      <c r="F176" s="14"/>
      <c r="G176" s="14"/>
      <c r="H176" s="14"/>
      <c r="I176" s="14"/>
      <c r="J176" s="14"/>
      <c r="K176" s="14"/>
      <c r="L176" s="14"/>
      <c r="M176" s="15"/>
    </row>
    <row r="177" spans="1:14" x14ac:dyDescent="0.35">
      <c r="A177" s="20"/>
      <c r="B177" s="36"/>
      <c r="C177" s="36"/>
      <c r="D177" s="36"/>
      <c r="E177" s="1" t="s">
        <v>24</v>
      </c>
      <c r="F177" s="14"/>
      <c r="G177" s="14"/>
      <c r="H177" s="14"/>
      <c r="I177" s="14"/>
      <c r="J177" s="14"/>
      <c r="K177" s="14"/>
      <c r="L177" s="14"/>
      <c r="M177" s="15"/>
    </row>
    <row r="178" spans="1:14" ht="15" thickBot="1" x14ac:dyDescent="0.4">
      <c r="A178" s="9"/>
      <c r="B178" s="34"/>
      <c r="C178" s="34"/>
      <c r="D178" s="34"/>
      <c r="E178" s="16"/>
      <c r="F178" s="16"/>
      <c r="G178" s="16"/>
      <c r="H178" s="16"/>
      <c r="I178" s="16"/>
      <c r="J178" s="16"/>
      <c r="K178" s="16"/>
      <c r="L178" s="16"/>
      <c r="M178" s="17"/>
      <c r="N178" t="s">
        <v>0</v>
      </c>
    </row>
    <row r="179" spans="1:14" x14ac:dyDescent="0.35">
      <c r="E179" s="14"/>
      <c r="F179" s="14"/>
      <c r="G179" s="14"/>
      <c r="H179" s="14"/>
      <c r="I179" s="14"/>
      <c r="J179" s="14"/>
      <c r="K179" s="14"/>
      <c r="L179" s="14"/>
      <c r="M179" s="14"/>
      <c r="N179" t="s">
        <v>106</v>
      </c>
    </row>
    <row r="180" spans="1:14" ht="15" thickBot="1" x14ac:dyDescent="0.4"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1:14" ht="21" x14ac:dyDescent="0.5">
      <c r="A181" s="23" t="s">
        <v>101</v>
      </c>
      <c r="B181" s="33"/>
      <c r="C181" s="33"/>
      <c r="D181" s="33"/>
      <c r="E181" s="2"/>
      <c r="F181" s="2" t="s">
        <v>4</v>
      </c>
      <c r="G181" s="2"/>
      <c r="H181" s="2" t="s">
        <v>67</v>
      </c>
      <c r="I181" s="2" t="s">
        <v>5</v>
      </c>
      <c r="J181" s="2" t="s">
        <v>6</v>
      </c>
      <c r="K181" s="2"/>
      <c r="L181" s="2" t="s">
        <v>7</v>
      </c>
      <c r="M181" s="3" t="s">
        <v>8</v>
      </c>
    </row>
    <row r="182" spans="1:14" x14ac:dyDescent="0.35">
      <c r="A182" s="4">
        <v>13</v>
      </c>
      <c r="M182" s="5"/>
    </row>
    <row r="183" spans="1:14" x14ac:dyDescent="0.35">
      <c r="A183" s="6" t="s">
        <v>0</v>
      </c>
      <c r="B183" s="27"/>
      <c r="C183" s="27"/>
      <c r="D183" s="27"/>
      <c r="M183" s="5"/>
    </row>
    <row r="184" spans="1:14" x14ac:dyDescent="0.35">
      <c r="A184" s="7" t="s">
        <v>1</v>
      </c>
      <c r="B184" s="28"/>
      <c r="C184" s="28"/>
      <c r="D184" s="28"/>
      <c r="M184" s="5"/>
    </row>
    <row r="185" spans="1:14" x14ac:dyDescent="0.35">
      <c r="A185" s="8" t="s">
        <v>2</v>
      </c>
      <c r="B185" s="29"/>
      <c r="C185" s="29"/>
      <c r="D185" s="29"/>
      <c r="M185" s="5"/>
    </row>
    <row r="186" spans="1:14" x14ac:dyDescent="0.35">
      <c r="A186" s="4"/>
      <c r="M186" s="5"/>
    </row>
    <row r="187" spans="1:14" x14ac:dyDescent="0.35">
      <c r="A187" s="4" t="s">
        <v>3</v>
      </c>
      <c r="E187" s="57"/>
      <c r="F187" s="57"/>
      <c r="G187" s="57"/>
      <c r="H187" s="57"/>
      <c r="I187" s="57"/>
      <c r="J187" s="57"/>
      <c r="K187" s="57"/>
      <c r="L187" s="57"/>
      <c r="M187" s="58"/>
      <c r="N187" t="s">
        <v>1</v>
      </c>
    </row>
    <row r="188" spans="1:14" x14ac:dyDescent="0.35">
      <c r="A188" s="4"/>
      <c r="E188" s="57"/>
      <c r="F188" s="57"/>
      <c r="G188" s="57"/>
      <c r="H188" s="57"/>
      <c r="I188" s="57"/>
      <c r="J188" s="57"/>
      <c r="K188" s="57"/>
      <c r="L188" s="57"/>
      <c r="M188" s="58"/>
      <c r="N188" t="s">
        <v>31</v>
      </c>
    </row>
    <row r="189" spans="1:14" x14ac:dyDescent="0.35">
      <c r="A189" s="4"/>
      <c r="E189" s="57"/>
      <c r="F189" s="57"/>
      <c r="G189" s="57"/>
      <c r="H189" s="57"/>
      <c r="I189" s="57"/>
      <c r="J189" s="57"/>
      <c r="K189" s="57"/>
      <c r="L189" s="57"/>
      <c r="M189" s="58"/>
    </row>
    <row r="190" spans="1:14" ht="15" thickBot="1" x14ac:dyDescent="0.4">
      <c r="A190" s="9"/>
      <c r="B190" s="34"/>
      <c r="C190" s="34"/>
      <c r="D190" s="34"/>
      <c r="E190" s="59"/>
      <c r="F190" s="59"/>
      <c r="G190" s="59"/>
      <c r="H190" s="59"/>
      <c r="I190" s="59"/>
      <c r="J190" s="59"/>
      <c r="K190" s="59"/>
      <c r="L190" s="59"/>
      <c r="M190" s="60"/>
      <c r="N190" t="s">
        <v>0</v>
      </c>
    </row>
    <row r="191" spans="1:14" x14ac:dyDescent="0.35">
      <c r="N191" t="s">
        <v>32</v>
      </c>
    </row>
    <row r="192" spans="1:14" ht="15" thickBot="1" x14ac:dyDescent="0.4"/>
    <row r="193" spans="1:14" ht="21" x14ac:dyDescent="0.5">
      <c r="A193" s="23" t="s">
        <v>25</v>
      </c>
      <c r="B193" s="35"/>
      <c r="C193" s="35"/>
      <c r="D193" s="35"/>
      <c r="E193" s="2"/>
      <c r="F193" s="2" t="s">
        <v>4</v>
      </c>
      <c r="G193" s="2"/>
      <c r="H193" s="2" t="s">
        <v>67</v>
      </c>
      <c r="I193" s="2" t="s">
        <v>5</v>
      </c>
      <c r="J193" s="2" t="s">
        <v>6</v>
      </c>
      <c r="K193" s="2"/>
      <c r="L193" s="2" t="s">
        <v>7</v>
      </c>
      <c r="M193" s="3" t="s">
        <v>8</v>
      </c>
    </row>
    <row r="194" spans="1:14" x14ac:dyDescent="0.35">
      <c r="A194" s="4">
        <v>13</v>
      </c>
      <c r="M194" s="5"/>
    </row>
    <row r="195" spans="1:14" x14ac:dyDescent="0.35">
      <c r="A195" s="6" t="s">
        <v>0</v>
      </c>
      <c r="B195" s="27"/>
      <c r="C195" s="27"/>
      <c r="D195" s="27"/>
      <c r="F195" s="12"/>
      <c r="G195" s="12"/>
      <c r="H195" s="12"/>
      <c r="I195" s="12"/>
      <c r="J195" s="12"/>
      <c r="K195" s="12"/>
      <c r="L195" s="12"/>
      <c r="M195" s="13"/>
    </row>
    <row r="196" spans="1:14" x14ac:dyDescent="0.35">
      <c r="A196" s="7" t="s">
        <v>1</v>
      </c>
      <c r="B196" s="28"/>
      <c r="C196" s="28"/>
      <c r="D196" s="28"/>
      <c r="F196" s="12"/>
      <c r="G196" s="12"/>
      <c r="H196" s="12"/>
      <c r="I196" s="12"/>
      <c r="J196" s="12"/>
      <c r="K196" s="12"/>
      <c r="L196" s="12"/>
      <c r="M196" s="13"/>
    </row>
    <row r="197" spans="1:14" x14ac:dyDescent="0.35">
      <c r="A197" s="8" t="s">
        <v>2</v>
      </c>
      <c r="B197" s="29"/>
      <c r="C197" s="29"/>
      <c r="D197" s="29"/>
      <c r="F197" s="12"/>
      <c r="G197" s="12"/>
      <c r="H197" s="12"/>
      <c r="I197" s="12"/>
      <c r="J197" s="12"/>
      <c r="K197" s="12"/>
      <c r="L197" s="12"/>
      <c r="M197" s="13"/>
    </row>
    <row r="198" spans="1:14" x14ac:dyDescent="0.35">
      <c r="A198" s="4"/>
      <c r="M198" s="5"/>
    </row>
    <row r="199" spans="1:14" x14ac:dyDescent="0.35">
      <c r="A199" s="4" t="s">
        <v>3</v>
      </c>
      <c r="E199" s="57"/>
      <c r="F199" s="57"/>
      <c r="G199" s="57"/>
      <c r="H199" s="57"/>
      <c r="I199" s="57"/>
      <c r="J199" s="57"/>
      <c r="K199" s="57"/>
      <c r="L199" s="57"/>
      <c r="M199" s="58"/>
      <c r="N199" t="s">
        <v>1</v>
      </c>
    </row>
    <row r="200" spans="1:14" x14ac:dyDescent="0.35">
      <c r="A200" s="4"/>
      <c r="E200" s="57"/>
      <c r="F200" s="57"/>
      <c r="G200" s="57"/>
      <c r="H200" s="57"/>
      <c r="I200" s="57"/>
      <c r="J200" s="57"/>
      <c r="K200" s="57"/>
      <c r="L200" s="57"/>
      <c r="M200" s="58"/>
      <c r="N200" t="s">
        <v>34</v>
      </c>
    </row>
    <row r="201" spans="1:14" x14ac:dyDescent="0.35">
      <c r="A201" s="4"/>
      <c r="E201" s="57"/>
      <c r="F201" s="57"/>
      <c r="G201" s="57"/>
      <c r="H201" s="57"/>
      <c r="I201" s="57"/>
      <c r="J201" s="57"/>
      <c r="K201" s="57"/>
      <c r="L201" s="57"/>
      <c r="M201" s="58"/>
    </row>
    <row r="202" spans="1:14" ht="15" thickBot="1" x14ac:dyDescent="0.4">
      <c r="A202" s="9"/>
      <c r="B202" s="34"/>
      <c r="C202" s="34"/>
      <c r="D202" s="34"/>
      <c r="E202" s="59"/>
      <c r="F202" s="59"/>
      <c r="G202" s="59"/>
      <c r="H202" s="59"/>
      <c r="I202" s="59"/>
      <c r="J202" s="59"/>
      <c r="K202" s="59"/>
      <c r="L202" s="59"/>
      <c r="M202" s="60"/>
      <c r="N202" t="s">
        <v>0</v>
      </c>
    </row>
    <row r="203" spans="1:14" x14ac:dyDescent="0.35">
      <c r="N203" t="s">
        <v>35</v>
      </c>
    </row>
    <row r="204" spans="1:14" ht="15" thickBot="1" x14ac:dyDescent="0.4"/>
    <row r="205" spans="1:14" ht="21" x14ac:dyDescent="0.5">
      <c r="A205" s="23" t="s">
        <v>26</v>
      </c>
      <c r="B205" s="35"/>
      <c r="C205" s="35"/>
      <c r="D205" s="35"/>
      <c r="E205" s="2"/>
      <c r="F205" s="2" t="s">
        <v>4</v>
      </c>
      <c r="G205" s="2"/>
      <c r="H205" s="2" t="s">
        <v>67</v>
      </c>
      <c r="I205" s="2" t="s">
        <v>5</v>
      </c>
      <c r="J205" s="2" t="s">
        <v>6</v>
      </c>
      <c r="K205" s="2"/>
      <c r="L205" s="2" t="s">
        <v>7</v>
      </c>
      <c r="M205" s="3" t="s">
        <v>8</v>
      </c>
    </row>
    <row r="206" spans="1:14" x14ac:dyDescent="0.35">
      <c r="A206" s="4">
        <v>13</v>
      </c>
      <c r="M206" s="5"/>
    </row>
    <row r="207" spans="1:14" x14ac:dyDescent="0.35">
      <c r="A207" s="6" t="s">
        <v>0</v>
      </c>
      <c r="B207" s="27"/>
      <c r="C207" s="27"/>
      <c r="D207" s="27"/>
      <c r="F207" s="12"/>
      <c r="G207" s="12"/>
      <c r="H207" s="12"/>
      <c r="I207" s="12"/>
      <c r="J207" s="12"/>
      <c r="K207" s="12"/>
      <c r="L207" s="12"/>
      <c r="M207" s="13"/>
    </row>
    <row r="208" spans="1:14" x14ac:dyDescent="0.35">
      <c r="A208" s="7" t="s">
        <v>1</v>
      </c>
      <c r="B208" s="28"/>
      <c r="C208" s="28"/>
      <c r="D208" s="28"/>
      <c r="F208" s="12"/>
      <c r="G208" s="12"/>
      <c r="H208" s="12"/>
      <c r="I208" s="12"/>
      <c r="J208" s="12"/>
      <c r="K208" s="12"/>
      <c r="L208" s="12"/>
      <c r="M208" s="13"/>
    </row>
    <row r="209" spans="1:14" ht="16" customHeight="1" x14ac:dyDescent="0.35">
      <c r="A209" s="8" t="s">
        <v>2</v>
      </c>
      <c r="B209" s="29"/>
      <c r="C209" s="29"/>
      <c r="D209" s="29"/>
      <c r="F209" s="12"/>
      <c r="G209" s="12"/>
      <c r="H209" s="12"/>
      <c r="I209" s="12"/>
      <c r="J209" s="12"/>
      <c r="K209" s="12"/>
      <c r="L209" s="12"/>
      <c r="M209" s="13"/>
    </row>
    <row r="210" spans="1:14" x14ac:dyDescent="0.35">
      <c r="A210" s="4"/>
      <c r="M210" s="5"/>
    </row>
    <row r="211" spans="1:14" x14ac:dyDescent="0.35">
      <c r="A211" s="4" t="s">
        <v>3</v>
      </c>
      <c r="E211" s="57" t="s">
        <v>27</v>
      </c>
      <c r="F211" s="57"/>
      <c r="G211" s="57"/>
      <c r="H211" s="57"/>
      <c r="I211" s="57"/>
      <c r="J211" s="57"/>
      <c r="K211" s="57"/>
      <c r="L211" s="57"/>
      <c r="M211" s="58"/>
      <c r="N211" t="s">
        <v>1</v>
      </c>
    </row>
    <row r="212" spans="1:14" x14ac:dyDescent="0.35">
      <c r="A212" s="4"/>
      <c r="E212" s="57"/>
      <c r="F212" s="57"/>
      <c r="G212" s="57"/>
      <c r="H212" s="57"/>
      <c r="I212" s="57"/>
      <c r="J212" s="57"/>
      <c r="K212" s="57"/>
      <c r="L212" s="57"/>
      <c r="M212" s="58"/>
      <c r="N212" t="s">
        <v>40</v>
      </c>
    </row>
    <row r="213" spans="1:14" x14ac:dyDescent="0.35">
      <c r="A213" s="4"/>
      <c r="E213" s="57"/>
      <c r="F213" s="57"/>
      <c r="G213" s="57"/>
      <c r="H213" s="57"/>
      <c r="I213" s="57"/>
      <c r="J213" s="57"/>
      <c r="K213" s="57"/>
      <c r="L213" s="57"/>
      <c r="M213" s="58"/>
    </row>
    <row r="214" spans="1:14" ht="15" thickBot="1" x14ac:dyDescent="0.4">
      <c r="A214" s="9"/>
      <c r="B214" s="34"/>
      <c r="C214" s="34"/>
      <c r="D214" s="34"/>
      <c r="E214" s="59"/>
      <c r="F214" s="59"/>
      <c r="G214" s="59"/>
      <c r="H214" s="59"/>
      <c r="I214" s="59"/>
      <c r="J214" s="59"/>
      <c r="K214" s="59"/>
      <c r="L214" s="59"/>
      <c r="M214" s="60"/>
      <c r="N214" t="s">
        <v>0</v>
      </c>
    </row>
    <row r="215" spans="1:14" x14ac:dyDescent="0.35">
      <c r="N215" t="s">
        <v>39</v>
      </c>
    </row>
    <row r="216" spans="1:14" ht="15" thickBot="1" x14ac:dyDescent="0.4"/>
    <row r="217" spans="1:14" ht="21" x14ac:dyDescent="0.5">
      <c r="A217" s="40" t="s">
        <v>30</v>
      </c>
      <c r="B217" s="33"/>
      <c r="C217" s="33"/>
      <c r="D217" s="33"/>
      <c r="E217" s="2"/>
      <c r="F217" s="2" t="s">
        <v>4</v>
      </c>
      <c r="G217" s="2"/>
      <c r="H217" s="2" t="s">
        <v>67</v>
      </c>
      <c r="I217" s="2" t="s">
        <v>5</v>
      </c>
      <c r="J217" s="2" t="s">
        <v>6</v>
      </c>
      <c r="K217" s="2"/>
      <c r="L217" s="2" t="s">
        <v>7</v>
      </c>
      <c r="M217" s="3" t="s">
        <v>8</v>
      </c>
    </row>
    <row r="218" spans="1:14" x14ac:dyDescent="0.35">
      <c r="A218" s="4">
        <v>13</v>
      </c>
      <c r="M218" s="5"/>
    </row>
    <row r="219" spans="1:14" x14ac:dyDescent="0.35">
      <c r="A219" s="6" t="s">
        <v>0</v>
      </c>
      <c r="B219" s="27"/>
      <c r="C219" s="27">
        <v>0.18</v>
      </c>
      <c r="D219" s="27"/>
      <c r="F219" s="10" t="s">
        <v>58</v>
      </c>
      <c r="G219" s="10"/>
      <c r="I219">
        <v>43</v>
      </c>
      <c r="J219">
        <v>11</v>
      </c>
      <c r="L219">
        <v>2</v>
      </c>
      <c r="M219" s="5">
        <v>2</v>
      </c>
    </row>
    <row r="220" spans="1:14" x14ac:dyDescent="0.35">
      <c r="A220" s="7" t="s">
        <v>1</v>
      </c>
      <c r="B220" s="28"/>
      <c r="C220" s="28">
        <v>0.09</v>
      </c>
      <c r="D220" s="28"/>
      <c r="F220" s="10" t="s">
        <v>125</v>
      </c>
      <c r="H220">
        <v>159</v>
      </c>
      <c r="I220">
        <v>64</v>
      </c>
      <c r="J220">
        <v>8</v>
      </c>
      <c r="L220">
        <v>2</v>
      </c>
      <c r="M220" s="5">
        <v>4</v>
      </c>
    </row>
    <row r="221" spans="1:14" x14ac:dyDescent="0.35">
      <c r="A221" s="8" t="s">
        <v>2</v>
      </c>
      <c r="B221" s="29"/>
      <c r="C221" s="29"/>
      <c r="D221" s="29"/>
      <c r="M221" s="5"/>
    </row>
    <row r="222" spans="1:14" x14ac:dyDescent="0.35">
      <c r="A222" s="4"/>
      <c r="M222" s="5"/>
    </row>
    <row r="223" spans="1:14" x14ac:dyDescent="0.35">
      <c r="A223" s="4" t="s">
        <v>3</v>
      </c>
      <c r="E223" s="57" t="s">
        <v>33</v>
      </c>
      <c r="F223" s="57"/>
      <c r="G223" s="57"/>
      <c r="H223" s="57"/>
      <c r="I223" s="57"/>
      <c r="J223" s="57"/>
      <c r="K223" s="57"/>
      <c r="L223" s="57"/>
      <c r="M223" s="58"/>
      <c r="N223" t="s">
        <v>1</v>
      </c>
    </row>
    <row r="224" spans="1:14" x14ac:dyDescent="0.35">
      <c r="A224" s="4"/>
      <c r="E224" s="57"/>
      <c r="F224" s="57"/>
      <c r="G224" s="57"/>
      <c r="H224" s="57"/>
      <c r="I224" s="57"/>
      <c r="J224" s="57"/>
      <c r="K224" s="57"/>
      <c r="L224" s="57"/>
      <c r="M224" s="58"/>
      <c r="N224" t="s">
        <v>43</v>
      </c>
    </row>
    <row r="225" spans="1:14" x14ac:dyDescent="0.35">
      <c r="A225" s="4"/>
      <c r="E225" s="57"/>
      <c r="F225" s="57"/>
      <c r="G225" s="57"/>
      <c r="H225" s="57"/>
      <c r="I225" s="57"/>
      <c r="J225" s="57"/>
      <c r="K225" s="57"/>
      <c r="L225" s="57"/>
      <c r="M225" s="58"/>
    </row>
    <row r="226" spans="1:14" ht="15" thickBot="1" x14ac:dyDescent="0.4">
      <c r="A226" s="9"/>
      <c r="B226" s="34"/>
      <c r="C226" s="34"/>
      <c r="D226" s="34"/>
      <c r="E226" s="59"/>
      <c r="F226" s="59"/>
      <c r="G226" s="59"/>
      <c r="H226" s="59"/>
      <c r="I226" s="59"/>
      <c r="J226" s="59"/>
      <c r="K226" s="59"/>
      <c r="L226" s="59"/>
      <c r="M226" s="60"/>
      <c r="N226" t="s">
        <v>0</v>
      </c>
    </row>
    <row r="227" spans="1:14" x14ac:dyDescent="0.35">
      <c r="N227" t="s">
        <v>39</v>
      </c>
    </row>
    <row r="228" spans="1:14" ht="15" thickBot="1" x14ac:dyDescent="0.4"/>
    <row r="229" spans="1:14" ht="21" x14ac:dyDescent="0.5">
      <c r="A229" s="23" t="s">
        <v>36</v>
      </c>
      <c r="B229" s="33"/>
      <c r="C229" s="33"/>
      <c r="D229" s="33"/>
      <c r="E229" s="2"/>
      <c r="F229" s="2" t="s">
        <v>4</v>
      </c>
      <c r="G229" s="2"/>
      <c r="H229" s="2" t="s">
        <v>67</v>
      </c>
      <c r="I229" s="2" t="s">
        <v>5</v>
      </c>
      <c r="J229" s="2" t="s">
        <v>6</v>
      </c>
      <c r="K229" s="2"/>
      <c r="L229" s="2" t="s">
        <v>7</v>
      </c>
      <c r="M229" s="3" t="s">
        <v>8</v>
      </c>
    </row>
    <row r="230" spans="1:14" x14ac:dyDescent="0.35">
      <c r="A230" s="4">
        <v>13</v>
      </c>
      <c r="M230" s="5"/>
    </row>
    <row r="231" spans="1:14" x14ac:dyDescent="0.35">
      <c r="A231" s="6" t="s">
        <v>0</v>
      </c>
      <c r="B231" s="27"/>
      <c r="C231" s="27">
        <v>0.15</v>
      </c>
      <c r="D231" s="27"/>
      <c r="F231" s="10"/>
      <c r="G231" s="10"/>
      <c r="M231" s="5"/>
    </row>
    <row r="232" spans="1:14" x14ac:dyDescent="0.35">
      <c r="A232" s="7" t="s">
        <v>1</v>
      </c>
      <c r="B232" s="28"/>
      <c r="C232" s="28">
        <v>0.18</v>
      </c>
      <c r="D232" s="28"/>
      <c r="F232" s="10" t="s">
        <v>107</v>
      </c>
      <c r="H232">
        <v>44</v>
      </c>
      <c r="M232" s="5"/>
    </row>
    <row r="233" spans="1:14" x14ac:dyDescent="0.35">
      <c r="A233" s="8" t="s">
        <v>2</v>
      </c>
      <c r="B233" s="29"/>
      <c r="C233" s="29"/>
      <c r="D233" s="29"/>
      <c r="F233" s="18"/>
      <c r="G233" s="18"/>
      <c r="H233" s="18"/>
      <c r="I233" s="18"/>
      <c r="J233" s="18"/>
      <c r="K233" s="18"/>
      <c r="L233" s="18"/>
      <c r="M233" s="19"/>
    </row>
    <row r="234" spans="1:14" x14ac:dyDescent="0.35">
      <c r="A234" s="4"/>
      <c r="M234" s="5"/>
    </row>
    <row r="235" spans="1:14" x14ac:dyDescent="0.35">
      <c r="A235" s="4" t="s">
        <v>3</v>
      </c>
      <c r="E235" s="57" t="s">
        <v>37</v>
      </c>
      <c r="F235" s="57"/>
      <c r="G235" s="57"/>
      <c r="H235" s="57"/>
      <c r="I235" s="57"/>
      <c r="J235" s="57"/>
      <c r="K235" s="57"/>
      <c r="L235" s="57"/>
      <c r="M235" s="58"/>
    </row>
    <row r="236" spans="1:14" x14ac:dyDescent="0.35">
      <c r="A236" s="4"/>
      <c r="E236" s="57"/>
      <c r="F236" s="57"/>
      <c r="G236" s="57"/>
      <c r="H236" s="57"/>
      <c r="I236" s="57"/>
      <c r="J236" s="57"/>
      <c r="K236" s="57"/>
      <c r="L236" s="57"/>
      <c r="M236" s="58"/>
      <c r="N236" t="s">
        <v>45</v>
      </c>
    </row>
    <row r="237" spans="1:14" x14ac:dyDescent="0.35">
      <c r="A237" s="4"/>
      <c r="E237" s="57"/>
      <c r="F237" s="57"/>
      <c r="G237" s="57"/>
      <c r="H237" s="57"/>
      <c r="I237" s="57"/>
      <c r="J237" s="57"/>
      <c r="K237" s="57"/>
      <c r="L237" s="57"/>
      <c r="M237" s="58"/>
    </row>
    <row r="238" spans="1:14" ht="15" thickBot="1" x14ac:dyDescent="0.4">
      <c r="A238" s="9"/>
      <c r="B238" s="34"/>
      <c r="C238" s="34"/>
      <c r="D238" s="34"/>
      <c r="E238" s="59"/>
      <c r="F238" s="59"/>
      <c r="G238" s="59"/>
      <c r="H238" s="59"/>
      <c r="I238" s="59"/>
      <c r="J238" s="59"/>
      <c r="K238" s="59"/>
      <c r="L238" s="59"/>
      <c r="M238" s="60"/>
    </row>
    <row r="240" spans="1:14" ht="15" thickBot="1" x14ac:dyDescent="0.4"/>
    <row r="241" spans="1:14" ht="21" x14ac:dyDescent="0.5">
      <c r="A241" s="23" t="s">
        <v>38</v>
      </c>
      <c r="B241" s="33"/>
      <c r="C241" s="33"/>
      <c r="D241" s="33"/>
      <c r="E241" s="2"/>
      <c r="F241" s="2" t="s">
        <v>4</v>
      </c>
      <c r="G241" s="2"/>
      <c r="H241" s="2" t="s">
        <v>67</v>
      </c>
      <c r="I241" s="2" t="s">
        <v>5</v>
      </c>
      <c r="J241" s="2" t="s">
        <v>6</v>
      </c>
      <c r="K241" s="2"/>
      <c r="L241" s="2" t="s">
        <v>7</v>
      </c>
      <c r="M241" s="3" t="s">
        <v>8</v>
      </c>
    </row>
    <row r="242" spans="1:14" x14ac:dyDescent="0.35">
      <c r="A242" s="4">
        <v>13</v>
      </c>
      <c r="M242" s="5"/>
    </row>
    <row r="243" spans="1:14" x14ac:dyDescent="0.35">
      <c r="A243" s="6" t="s">
        <v>0</v>
      </c>
      <c r="B243" s="27"/>
      <c r="C243" s="27"/>
      <c r="D243" s="27"/>
      <c r="F243" s="12"/>
      <c r="G243" s="12"/>
      <c r="H243" s="12"/>
      <c r="I243" s="12"/>
      <c r="J243" s="12"/>
      <c r="K243" s="12"/>
      <c r="L243" s="12"/>
      <c r="M243" s="13"/>
    </row>
    <row r="244" spans="1:14" x14ac:dyDescent="0.35">
      <c r="A244" s="7" t="s">
        <v>1</v>
      </c>
      <c r="B244" s="28"/>
      <c r="C244" s="28"/>
      <c r="D244" s="28"/>
      <c r="F244" s="18"/>
      <c r="G244" s="18"/>
      <c r="H244" s="18"/>
      <c r="I244" s="18"/>
      <c r="J244" s="18"/>
      <c r="K244" s="18"/>
      <c r="L244" s="18"/>
      <c r="M244" s="19"/>
    </row>
    <row r="245" spans="1:14" x14ac:dyDescent="0.35">
      <c r="A245" s="8" t="s">
        <v>2</v>
      </c>
      <c r="B245" s="29"/>
      <c r="C245" s="29"/>
      <c r="D245" s="29"/>
      <c r="F245" s="12"/>
      <c r="G245" s="12"/>
      <c r="H245" s="12"/>
      <c r="I245" s="12"/>
      <c r="J245" s="12"/>
      <c r="K245" s="12"/>
      <c r="L245" s="12"/>
      <c r="M245" s="13"/>
    </row>
    <row r="246" spans="1:14" x14ac:dyDescent="0.35">
      <c r="A246" s="4"/>
      <c r="M246" s="5"/>
    </row>
    <row r="247" spans="1:14" x14ac:dyDescent="0.35">
      <c r="A247" s="4" t="s">
        <v>3</v>
      </c>
      <c r="E247" s="57" t="s">
        <v>41</v>
      </c>
      <c r="F247" s="57"/>
      <c r="G247" s="57"/>
      <c r="H247" s="57"/>
      <c r="I247" s="57"/>
      <c r="J247" s="57"/>
      <c r="K247" s="57"/>
      <c r="L247" s="57"/>
      <c r="M247" s="58"/>
      <c r="N247" t="s">
        <v>0</v>
      </c>
    </row>
    <row r="248" spans="1:14" x14ac:dyDescent="0.35">
      <c r="A248" s="4"/>
      <c r="E248" s="57"/>
      <c r="F248" s="57"/>
      <c r="G248" s="57"/>
      <c r="H248" s="57"/>
      <c r="I248" s="57"/>
      <c r="J248" s="57"/>
      <c r="K248" s="57"/>
      <c r="L248" s="57"/>
      <c r="M248" s="58"/>
      <c r="N248" t="s">
        <v>47</v>
      </c>
    </row>
    <row r="249" spans="1:14" x14ac:dyDescent="0.35">
      <c r="A249" s="4"/>
      <c r="E249" s="57"/>
      <c r="F249" s="57"/>
      <c r="G249" s="57"/>
      <c r="H249" s="57"/>
      <c r="I249" s="57"/>
      <c r="J249" s="57"/>
      <c r="K249" s="57"/>
      <c r="L249" s="57"/>
      <c r="M249" s="58"/>
    </row>
    <row r="250" spans="1:14" ht="15" thickBot="1" x14ac:dyDescent="0.4">
      <c r="A250" s="9"/>
      <c r="B250" s="34"/>
      <c r="C250" s="34"/>
      <c r="D250" s="34"/>
      <c r="E250" s="59"/>
      <c r="F250" s="59"/>
      <c r="G250" s="59"/>
      <c r="H250" s="59"/>
      <c r="I250" s="59"/>
      <c r="J250" s="59"/>
      <c r="K250" s="59"/>
      <c r="L250" s="59"/>
      <c r="M250" s="60"/>
    </row>
    <row r="252" spans="1:14" ht="15" thickBot="1" x14ac:dyDescent="0.4"/>
    <row r="253" spans="1:14" ht="21" x14ac:dyDescent="0.5">
      <c r="A253" s="23" t="s">
        <v>42</v>
      </c>
      <c r="B253" s="35"/>
      <c r="C253" s="35"/>
      <c r="D253" s="35"/>
      <c r="E253" s="2"/>
      <c r="F253" s="2" t="s">
        <v>4</v>
      </c>
      <c r="G253" s="2"/>
      <c r="H253" s="2" t="s">
        <v>67</v>
      </c>
      <c r="I253" s="2" t="s">
        <v>5</v>
      </c>
      <c r="J253" s="2" t="s">
        <v>6</v>
      </c>
      <c r="K253" s="2"/>
      <c r="L253" s="2" t="s">
        <v>7</v>
      </c>
      <c r="M253" s="3" t="s">
        <v>8</v>
      </c>
    </row>
    <row r="254" spans="1:14" x14ac:dyDescent="0.35">
      <c r="A254" s="4">
        <v>13</v>
      </c>
      <c r="M254" s="5"/>
    </row>
    <row r="255" spans="1:14" x14ac:dyDescent="0.35">
      <c r="A255" s="6" t="s">
        <v>0</v>
      </c>
      <c r="B255" s="27"/>
      <c r="C255" s="27">
        <v>0.15</v>
      </c>
      <c r="D255" s="27"/>
      <c r="F255" s="10" t="s">
        <v>102</v>
      </c>
      <c r="H255">
        <v>98</v>
      </c>
      <c r="I255">
        <v>102</v>
      </c>
      <c r="J255">
        <v>11</v>
      </c>
      <c r="L255">
        <v>6</v>
      </c>
      <c r="M255" s="5">
        <v>6</v>
      </c>
    </row>
    <row r="256" spans="1:14" x14ac:dyDescent="0.35">
      <c r="A256" s="7" t="s">
        <v>1</v>
      </c>
      <c r="B256" s="28"/>
      <c r="D256" s="28"/>
      <c r="F256" s="12"/>
      <c r="G256" s="12"/>
      <c r="H256" s="12"/>
      <c r="I256" s="12"/>
      <c r="J256" s="12"/>
      <c r="K256" s="12"/>
      <c r="L256" s="12"/>
      <c r="M256" s="13"/>
    </row>
    <row r="257" spans="1:14" x14ac:dyDescent="0.35">
      <c r="A257" s="8" t="s">
        <v>2</v>
      </c>
      <c r="B257" s="29"/>
      <c r="C257" s="29"/>
      <c r="D257" s="29"/>
      <c r="F257" s="12"/>
      <c r="G257" s="12"/>
      <c r="H257" s="12"/>
      <c r="I257" s="12"/>
      <c r="J257" s="12"/>
      <c r="K257" s="12"/>
      <c r="L257" s="12"/>
      <c r="M257" s="13"/>
    </row>
    <row r="258" spans="1:14" x14ac:dyDescent="0.35">
      <c r="A258" s="4"/>
      <c r="M258" s="5"/>
    </row>
    <row r="259" spans="1:14" x14ac:dyDescent="0.35">
      <c r="A259" s="4" t="s">
        <v>3</v>
      </c>
      <c r="E259" s="57"/>
      <c r="F259" s="57"/>
      <c r="G259" s="57"/>
      <c r="H259" s="57"/>
      <c r="I259" s="57"/>
      <c r="J259" s="57"/>
      <c r="K259" s="57"/>
      <c r="L259" s="57"/>
      <c r="M259" s="58"/>
    </row>
    <row r="260" spans="1:14" x14ac:dyDescent="0.35">
      <c r="A260" s="4"/>
      <c r="E260" s="57"/>
      <c r="F260" s="57"/>
      <c r="G260" s="57"/>
      <c r="H260" s="57"/>
      <c r="I260" s="57"/>
      <c r="J260" s="57"/>
      <c r="K260" s="57"/>
      <c r="L260" s="57"/>
      <c r="M260" s="58"/>
    </row>
    <row r="261" spans="1:14" x14ac:dyDescent="0.35">
      <c r="A261" s="4"/>
      <c r="E261" s="57"/>
      <c r="F261" s="57"/>
      <c r="G261" s="57"/>
      <c r="H261" s="57"/>
      <c r="I261" s="57"/>
      <c r="J261" s="57"/>
      <c r="K261" s="57"/>
      <c r="L261" s="57"/>
      <c r="M261" s="58"/>
    </row>
    <row r="262" spans="1:14" ht="15" thickBot="1" x14ac:dyDescent="0.4">
      <c r="A262" s="9"/>
      <c r="B262" s="34"/>
      <c r="C262" s="34"/>
      <c r="D262" s="34"/>
      <c r="E262" s="59"/>
      <c r="F262" s="59"/>
      <c r="G262" s="59"/>
      <c r="H262" s="59"/>
      <c r="I262" s="59"/>
      <c r="J262" s="59"/>
      <c r="K262" s="59"/>
      <c r="L262" s="59"/>
      <c r="M262" s="60"/>
    </row>
    <row r="263" spans="1:14" x14ac:dyDescent="0.35">
      <c r="H263" s="2" t="s">
        <v>67</v>
      </c>
    </row>
    <row r="264" spans="1:14" ht="15" thickBot="1" x14ac:dyDescent="0.4"/>
    <row r="265" spans="1:14" ht="21" x14ac:dyDescent="0.5">
      <c r="A265" s="23" t="s">
        <v>44</v>
      </c>
      <c r="B265" s="35"/>
      <c r="C265" s="35"/>
      <c r="D265" s="35"/>
      <c r="E265" s="2"/>
      <c r="F265" s="2" t="s">
        <v>4</v>
      </c>
      <c r="G265" s="2"/>
      <c r="H265" s="2"/>
      <c r="I265" s="2" t="s">
        <v>5</v>
      </c>
      <c r="J265" s="2" t="s">
        <v>6</v>
      </c>
      <c r="K265" s="2"/>
      <c r="L265" s="2" t="s">
        <v>7</v>
      </c>
      <c r="M265" s="3" t="s">
        <v>8</v>
      </c>
    </row>
    <row r="266" spans="1:14" x14ac:dyDescent="0.35">
      <c r="A266" s="4">
        <v>13</v>
      </c>
      <c r="M266" s="5"/>
    </row>
    <row r="267" spans="1:14" x14ac:dyDescent="0.35">
      <c r="A267" s="6" t="s">
        <v>0</v>
      </c>
      <c r="B267" s="27"/>
      <c r="C267" s="27"/>
      <c r="D267" s="27"/>
      <c r="F267" s="12"/>
      <c r="G267" s="12"/>
      <c r="H267" s="12"/>
      <c r="I267" s="12"/>
      <c r="J267" s="12"/>
      <c r="K267" s="12"/>
      <c r="L267" s="12"/>
      <c r="M267" s="13"/>
    </row>
    <row r="268" spans="1:14" x14ac:dyDescent="0.35">
      <c r="A268" s="7" t="s">
        <v>1</v>
      </c>
      <c r="B268" s="28"/>
      <c r="C268" s="28"/>
      <c r="D268" s="28"/>
      <c r="F268" s="12"/>
      <c r="G268" s="12"/>
      <c r="H268" s="12"/>
      <c r="I268" s="12"/>
      <c r="J268" s="12"/>
      <c r="K268" s="12"/>
      <c r="L268" s="12"/>
      <c r="M268" s="13"/>
    </row>
    <row r="269" spans="1:14" x14ac:dyDescent="0.35">
      <c r="A269" s="8" t="s">
        <v>2</v>
      </c>
      <c r="B269" s="29"/>
      <c r="C269" s="29"/>
      <c r="D269" s="29"/>
      <c r="F269" s="12"/>
      <c r="G269" s="12"/>
      <c r="H269" s="12"/>
      <c r="I269" s="12"/>
      <c r="J269" s="12"/>
      <c r="K269" s="12"/>
      <c r="L269" s="12"/>
      <c r="M269" s="13"/>
    </row>
    <row r="270" spans="1:14" x14ac:dyDescent="0.35">
      <c r="A270" s="4"/>
      <c r="M270" s="5"/>
    </row>
    <row r="271" spans="1:14" x14ac:dyDescent="0.35">
      <c r="A271" s="4" t="s">
        <v>3</v>
      </c>
      <c r="E271" s="57"/>
      <c r="F271" s="57"/>
      <c r="G271" s="57"/>
      <c r="H271" s="57"/>
      <c r="I271" s="57"/>
      <c r="J271" s="57"/>
      <c r="K271" s="57"/>
      <c r="L271" s="57"/>
      <c r="M271" s="58"/>
      <c r="N271" s="39" t="s">
        <v>1</v>
      </c>
    </row>
    <row r="272" spans="1:14" x14ac:dyDescent="0.35">
      <c r="A272" s="4"/>
      <c r="E272" s="57"/>
      <c r="F272" s="57"/>
      <c r="G272" s="57"/>
      <c r="H272" s="57"/>
      <c r="I272" s="57"/>
      <c r="J272" s="57"/>
      <c r="K272" s="57"/>
      <c r="L272" s="57"/>
      <c r="M272" s="58"/>
      <c r="N272" t="s">
        <v>103</v>
      </c>
    </row>
    <row r="273" spans="1:14" x14ac:dyDescent="0.35">
      <c r="A273" s="4"/>
      <c r="E273" s="57"/>
      <c r="F273" s="57"/>
      <c r="G273" s="57"/>
      <c r="H273" s="57"/>
      <c r="I273" s="57"/>
      <c r="J273" s="57"/>
      <c r="K273" s="57"/>
      <c r="L273" s="57"/>
      <c r="M273" s="58"/>
    </row>
    <row r="274" spans="1:14" ht="15" thickBot="1" x14ac:dyDescent="0.4">
      <c r="A274" s="9"/>
      <c r="B274" s="34"/>
      <c r="C274" s="34"/>
      <c r="D274" s="34"/>
      <c r="E274" s="59"/>
      <c r="F274" s="59"/>
      <c r="G274" s="59"/>
      <c r="H274" s="59"/>
      <c r="I274" s="59"/>
      <c r="J274" s="59"/>
      <c r="K274" s="59"/>
      <c r="L274" s="59"/>
      <c r="M274" s="60"/>
      <c r="N274" t="s">
        <v>0</v>
      </c>
    </row>
    <row r="275" spans="1:14" x14ac:dyDescent="0.35">
      <c r="E275" s="14"/>
      <c r="F275" s="14"/>
      <c r="G275" s="14"/>
      <c r="H275" s="14"/>
      <c r="I275" s="14"/>
      <c r="J275" s="14"/>
      <c r="K275" s="14"/>
      <c r="L275" s="14"/>
      <c r="M275" s="14"/>
      <c r="N275" t="s">
        <v>104</v>
      </c>
    </row>
    <row r="276" spans="1:14" ht="15" thickBot="1" x14ac:dyDescent="0.4">
      <c r="E276" s="14"/>
      <c r="F276" s="14"/>
      <c r="G276" s="14"/>
      <c r="H276" s="14"/>
      <c r="I276" s="14"/>
      <c r="J276" s="14"/>
      <c r="K276" s="14"/>
      <c r="L276" s="14"/>
      <c r="M276" s="14"/>
    </row>
    <row r="277" spans="1:14" ht="21" x14ac:dyDescent="0.5">
      <c r="A277" s="11" t="s">
        <v>145</v>
      </c>
      <c r="B277" s="33"/>
      <c r="C277" s="33"/>
      <c r="D277" s="33"/>
      <c r="E277" s="2"/>
      <c r="F277" s="2" t="s">
        <v>4</v>
      </c>
      <c r="G277" s="2"/>
      <c r="H277" s="2" t="s">
        <v>67</v>
      </c>
      <c r="I277" s="2" t="s">
        <v>5</v>
      </c>
      <c r="J277" s="2" t="s">
        <v>6</v>
      </c>
      <c r="K277" s="2"/>
      <c r="L277" s="2" t="s">
        <v>7</v>
      </c>
      <c r="M277" s="3" t="s">
        <v>8</v>
      </c>
    </row>
    <row r="278" spans="1:14" x14ac:dyDescent="0.35">
      <c r="A278" s="4">
        <v>13</v>
      </c>
      <c r="M278" s="5"/>
    </row>
    <row r="279" spans="1:14" x14ac:dyDescent="0.35">
      <c r="A279" s="6" t="s">
        <v>0</v>
      </c>
      <c r="B279" s="27"/>
      <c r="C279" s="27" t="s">
        <v>148</v>
      </c>
      <c r="D279" s="27"/>
      <c r="M279" s="5"/>
    </row>
    <row r="280" spans="1:14" x14ac:dyDescent="0.35">
      <c r="A280" s="7" t="s">
        <v>1</v>
      </c>
      <c r="B280" s="28"/>
      <c r="C280" s="28"/>
      <c r="D280" s="28"/>
      <c r="M280" s="5"/>
    </row>
    <row r="281" spans="1:14" x14ac:dyDescent="0.35">
      <c r="A281" s="8" t="s">
        <v>2</v>
      </c>
      <c r="B281" s="29"/>
      <c r="C281" s="29"/>
      <c r="D281" s="29"/>
      <c r="M281" s="5"/>
      <c r="N281" t="s">
        <v>0</v>
      </c>
    </row>
    <row r="282" spans="1:14" x14ac:dyDescent="0.35">
      <c r="A282" s="4"/>
      <c r="M282" s="5"/>
    </row>
    <row r="283" spans="1:14" x14ac:dyDescent="0.35">
      <c r="A283" s="4" t="s">
        <v>3</v>
      </c>
      <c r="E283" s="57" t="s">
        <v>149</v>
      </c>
      <c r="F283" s="57"/>
      <c r="G283" s="57"/>
      <c r="H283" s="57"/>
      <c r="I283" s="57"/>
      <c r="J283" s="57"/>
      <c r="K283" s="57"/>
      <c r="L283" s="57"/>
      <c r="M283" s="58"/>
    </row>
    <row r="284" spans="1:14" x14ac:dyDescent="0.35">
      <c r="A284" s="4"/>
      <c r="E284" s="57"/>
      <c r="F284" s="57"/>
      <c r="G284" s="57"/>
      <c r="H284" s="57"/>
      <c r="I284" s="57"/>
      <c r="J284" s="57"/>
      <c r="K284" s="57"/>
      <c r="L284" s="57"/>
      <c r="M284" s="58"/>
    </row>
    <row r="285" spans="1:14" x14ac:dyDescent="0.35">
      <c r="A285" s="4"/>
      <c r="E285" s="57"/>
      <c r="F285" s="57"/>
      <c r="G285" s="57"/>
      <c r="H285" s="57"/>
      <c r="I285" s="57"/>
      <c r="J285" s="57"/>
      <c r="K285" s="57"/>
      <c r="L285" s="57"/>
      <c r="M285" s="58"/>
    </row>
    <row r="286" spans="1:14" ht="15" thickBot="1" x14ac:dyDescent="0.4">
      <c r="A286" s="9"/>
      <c r="B286" s="34"/>
      <c r="C286" s="34"/>
      <c r="D286" s="34"/>
      <c r="E286" s="59"/>
      <c r="F286" s="59"/>
      <c r="G286" s="59"/>
      <c r="H286" s="59"/>
      <c r="I286" s="59"/>
      <c r="J286" s="59"/>
      <c r="K286" s="59"/>
      <c r="L286" s="59"/>
      <c r="M286" s="60"/>
    </row>
    <row r="287" spans="1:14" x14ac:dyDescent="0.35">
      <c r="E287" s="14"/>
      <c r="F287" s="14"/>
      <c r="G287" s="14"/>
      <c r="H287" s="14"/>
      <c r="I287" s="14"/>
      <c r="J287" s="14"/>
      <c r="K287" s="14"/>
      <c r="L287" s="14"/>
      <c r="M287" s="14"/>
    </row>
    <row r="288" spans="1:14" ht="15" thickBot="1" x14ac:dyDescent="0.4">
      <c r="E288" s="14"/>
      <c r="F288" s="14"/>
      <c r="G288" s="14"/>
      <c r="H288" s="14"/>
      <c r="I288" s="14"/>
      <c r="J288" s="14"/>
      <c r="K288" s="14"/>
      <c r="L288" s="14"/>
      <c r="M288" s="14"/>
    </row>
    <row r="289" spans="1:14" ht="21" x14ac:dyDescent="0.5">
      <c r="A289" s="11" t="s">
        <v>146</v>
      </c>
      <c r="B289" s="33"/>
      <c r="C289" s="33"/>
      <c r="D289" s="33"/>
      <c r="E289" s="2"/>
      <c r="F289" s="2" t="s">
        <v>4</v>
      </c>
      <c r="G289" s="2"/>
      <c r="H289" s="2" t="s">
        <v>67</v>
      </c>
      <c r="I289" s="2" t="s">
        <v>5</v>
      </c>
      <c r="J289" s="2" t="s">
        <v>6</v>
      </c>
      <c r="K289" s="2"/>
      <c r="L289" s="2" t="s">
        <v>7</v>
      </c>
      <c r="M289" s="3" t="s">
        <v>8</v>
      </c>
    </row>
    <row r="290" spans="1:14" x14ac:dyDescent="0.35">
      <c r="A290" s="4">
        <v>13</v>
      </c>
      <c r="M290" s="5"/>
    </row>
    <row r="291" spans="1:14" x14ac:dyDescent="0.35">
      <c r="A291" s="6" t="s">
        <v>0</v>
      </c>
      <c r="B291" s="27"/>
      <c r="C291" s="27"/>
      <c r="D291" s="27"/>
      <c r="M291" s="5"/>
    </row>
    <row r="292" spans="1:14" x14ac:dyDescent="0.35">
      <c r="A292" s="7" t="s">
        <v>1</v>
      </c>
      <c r="B292" s="28"/>
      <c r="C292" s="28"/>
      <c r="D292" s="28"/>
      <c r="M292" s="5"/>
    </row>
    <row r="293" spans="1:14" x14ac:dyDescent="0.35">
      <c r="A293" s="8" t="s">
        <v>2</v>
      </c>
      <c r="B293" s="29"/>
      <c r="C293" s="29"/>
      <c r="D293" s="29"/>
      <c r="M293" s="5"/>
      <c r="N293" t="s">
        <v>0</v>
      </c>
    </row>
    <row r="294" spans="1:14" x14ac:dyDescent="0.35">
      <c r="A294" s="4"/>
      <c r="M294" s="5"/>
      <c r="N294" t="s">
        <v>147</v>
      </c>
    </row>
    <row r="295" spans="1:14" x14ac:dyDescent="0.35">
      <c r="A295" s="4" t="s">
        <v>3</v>
      </c>
      <c r="E295" s="57"/>
      <c r="F295" s="57"/>
      <c r="G295" s="57"/>
      <c r="H295" s="57"/>
      <c r="I295" s="57"/>
      <c r="J295" s="57"/>
      <c r="K295" s="57"/>
      <c r="L295" s="57"/>
      <c r="M295" s="58"/>
    </row>
    <row r="296" spans="1:14" x14ac:dyDescent="0.35">
      <c r="A296" s="4"/>
      <c r="E296" s="57"/>
      <c r="F296" s="57"/>
      <c r="G296" s="57"/>
      <c r="H296" s="57"/>
      <c r="I296" s="57"/>
      <c r="J296" s="57"/>
      <c r="K296" s="57"/>
      <c r="L296" s="57"/>
      <c r="M296" s="58"/>
    </row>
    <row r="297" spans="1:14" x14ac:dyDescent="0.35">
      <c r="A297" s="4"/>
      <c r="E297" s="57"/>
      <c r="F297" s="57"/>
      <c r="G297" s="57"/>
      <c r="H297" s="57"/>
      <c r="I297" s="57"/>
      <c r="J297" s="57"/>
      <c r="K297" s="57"/>
      <c r="L297" s="57"/>
      <c r="M297" s="58"/>
    </row>
    <row r="298" spans="1:14" ht="15" thickBot="1" x14ac:dyDescent="0.4">
      <c r="A298" s="9"/>
      <c r="B298" s="34"/>
      <c r="C298" s="34"/>
      <c r="D298" s="34"/>
      <c r="E298" s="59"/>
      <c r="F298" s="59"/>
      <c r="G298" s="59"/>
      <c r="H298" s="59"/>
      <c r="I298" s="59"/>
      <c r="J298" s="59"/>
      <c r="K298" s="59"/>
      <c r="L298" s="59"/>
      <c r="M298" s="60"/>
    </row>
    <row r="299" spans="1:14" x14ac:dyDescent="0.35">
      <c r="N299" t="s">
        <v>0</v>
      </c>
    </row>
    <row r="300" spans="1:14" ht="15" thickBot="1" x14ac:dyDescent="0.4">
      <c r="N300" t="s">
        <v>61</v>
      </c>
    </row>
    <row r="301" spans="1:14" ht="21" x14ac:dyDescent="0.5">
      <c r="A301" s="23" t="s">
        <v>46</v>
      </c>
      <c r="B301" s="35"/>
      <c r="C301" s="35"/>
      <c r="D301" s="35"/>
      <c r="E301" s="2"/>
      <c r="F301" s="2" t="s">
        <v>4</v>
      </c>
      <c r="G301" s="2"/>
      <c r="H301" s="2" t="s">
        <v>67</v>
      </c>
      <c r="I301" s="2" t="s">
        <v>5</v>
      </c>
      <c r="J301" s="2" t="s">
        <v>6</v>
      </c>
      <c r="K301" s="2"/>
      <c r="L301" s="2" t="s">
        <v>7</v>
      </c>
      <c r="M301" s="3" t="s">
        <v>8</v>
      </c>
    </row>
    <row r="302" spans="1:14" x14ac:dyDescent="0.35">
      <c r="A302" s="4">
        <v>13</v>
      </c>
      <c r="M302" s="5"/>
    </row>
    <row r="303" spans="1:14" x14ac:dyDescent="0.35">
      <c r="A303" s="6" t="s">
        <v>0</v>
      </c>
      <c r="B303" s="27"/>
      <c r="C303" s="27"/>
      <c r="D303" s="27"/>
      <c r="F303" s="24"/>
      <c r="G303" s="24"/>
      <c r="H303" s="24"/>
      <c r="I303" s="24"/>
      <c r="J303" s="24"/>
      <c r="K303" s="24"/>
      <c r="L303" s="24"/>
      <c r="M303" s="25"/>
    </row>
    <row r="304" spans="1:14" x14ac:dyDescent="0.35">
      <c r="A304" s="7" t="s">
        <v>1</v>
      </c>
      <c r="B304" s="28"/>
      <c r="C304" s="28">
        <v>0.16</v>
      </c>
      <c r="D304" s="28"/>
      <c r="M304" s="5"/>
    </row>
    <row r="305" spans="1:14" x14ac:dyDescent="0.35">
      <c r="A305" s="8" t="s">
        <v>2</v>
      </c>
      <c r="B305" s="29"/>
      <c r="C305" s="29"/>
      <c r="D305" s="29"/>
      <c r="F305" s="24"/>
      <c r="G305" s="24"/>
      <c r="H305" s="24"/>
      <c r="I305" s="24"/>
      <c r="J305" s="24"/>
      <c r="K305" s="24"/>
      <c r="L305" s="24"/>
      <c r="M305" s="25"/>
    </row>
    <row r="306" spans="1:14" x14ac:dyDescent="0.35">
      <c r="A306" s="4"/>
      <c r="M306" s="5"/>
    </row>
    <row r="307" spans="1:14" x14ac:dyDescent="0.35">
      <c r="A307" s="4" t="s">
        <v>3</v>
      </c>
      <c r="E307" s="65" t="s">
        <v>105</v>
      </c>
      <c r="F307" s="57"/>
      <c r="G307" s="57"/>
      <c r="H307" s="57"/>
      <c r="I307" s="57"/>
      <c r="J307" s="57"/>
      <c r="K307" s="57"/>
      <c r="L307" s="57"/>
      <c r="M307" s="58"/>
    </row>
    <row r="308" spans="1:14" x14ac:dyDescent="0.35">
      <c r="A308" s="4"/>
      <c r="E308" s="57"/>
      <c r="F308" s="57"/>
      <c r="G308" s="57"/>
      <c r="H308" s="57"/>
      <c r="I308" s="57"/>
      <c r="J308" s="57"/>
      <c r="K308" s="57"/>
      <c r="L308" s="57"/>
      <c r="M308" s="58"/>
    </row>
    <row r="309" spans="1:14" x14ac:dyDescent="0.35">
      <c r="A309" s="4"/>
      <c r="E309" s="57"/>
      <c r="F309" s="57"/>
      <c r="G309" s="57"/>
      <c r="H309" s="57"/>
      <c r="I309" s="57"/>
      <c r="J309" s="57"/>
      <c r="K309" s="57"/>
      <c r="L309" s="57"/>
      <c r="M309" s="58"/>
    </row>
    <row r="310" spans="1:14" ht="15" thickBot="1" x14ac:dyDescent="0.4">
      <c r="A310" s="9"/>
      <c r="B310" s="34"/>
      <c r="C310" s="34"/>
      <c r="D310" s="34"/>
      <c r="E310" s="59"/>
      <c r="F310" s="59"/>
      <c r="G310" s="59"/>
      <c r="H310" s="59"/>
      <c r="I310" s="59"/>
      <c r="J310" s="59"/>
      <c r="K310" s="59"/>
      <c r="L310" s="59"/>
      <c r="M310" s="60"/>
    </row>
    <row r="311" spans="1:14" x14ac:dyDescent="0.35">
      <c r="N311" t="s">
        <v>1</v>
      </c>
    </row>
    <row r="312" spans="1:14" ht="15" thickBot="1" x14ac:dyDescent="0.4">
      <c r="N312" t="s">
        <v>63</v>
      </c>
    </row>
    <row r="313" spans="1:14" ht="21" x14ac:dyDescent="0.5">
      <c r="A313" s="23" t="s">
        <v>48</v>
      </c>
      <c r="B313" s="35"/>
      <c r="C313" s="35"/>
      <c r="D313" s="35"/>
      <c r="E313" s="2"/>
      <c r="F313" s="2" t="s">
        <v>4</v>
      </c>
      <c r="G313" s="2"/>
      <c r="H313" s="2" t="s">
        <v>67</v>
      </c>
      <c r="I313" s="2" t="s">
        <v>5</v>
      </c>
      <c r="J313" s="2" t="s">
        <v>6</v>
      </c>
      <c r="K313" s="2"/>
      <c r="L313" s="2" t="s">
        <v>7</v>
      </c>
      <c r="M313" s="3" t="s">
        <v>8</v>
      </c>
    </row>
    <row r="314" spans="1:14" x14ac:dyDescent="0.35">
      <c r="A314" s="4">
        <v>13</v>
      </c>
      <c r="M314" s="5"/>
    </row>
    <row r="315" spans="1:14" x14ac:dyDescent="0.35">
      <c r="A315" s="6" t="s">
        <v>0</v>
      </c>
      <c r="B315" s="27"/>
      <c r="C315" s="27"/>
      <c r="D315" s="27"/>
      <c r="F315" s="24"/>
      <c r="G315" s="24"/>
      <c r="H315" s="24"/>
      <c r="I315" s="24"/>
      <c r="J315" s="24"/>
      <c r="K315" s="24"/>
      <c r="L315" s="24"/>
      <c r="M315" s="25"/>
    </row>
    <row r="316" spans="1:14" x14ac:dyDescent="0.35">
      <c r="A316" s="7" t="s">
        <v>1</v>
      </c>
      <c r="B316" s="28"/>
      <c r="C316" s="28"/>
      <c r="D316" s="28"/>
      <c r="F316" s="24"/>
      <c r="G316" s="24"/>
      <c r="H316" s="24"/>
      <c r="I316" s="24"/>
      <c r="J316" s="24"/>
      <c r="K316" s="24"/>
      <c r="L316" s="24"/>
      <c r="M316" s="25"/>
    </row>
    <row r="317" spans="1:14" x14ac:dyDescent="0.35">
      <c r="A317" s="8" t="s">
        <v>2</v>
      </c>
      <c r="B317" s="29"/>
      <c r="C317" s="29"/>
      <c r="D317" s="29"/>
      <c r="F317" s="24"/>
      <c r="G317" s="24"/>
      <c r="H317" s="24"/>
      <c r="I317" s="24"/>
      <c r="J317" s="24"/>
      <c r="K317" s="24"/>
      <c r="L317" s="24"/>
      <c r="M317" s="25"/>
    </row>
    <row r="318" spans="1:14" x14ac:dyDescent="0.35">
      <c r="A318" s="4"/>
      <c r="M318" s="5"/>
    </row>
    <row r="319" spans="1:14" x14ac:dyDescent="0.35">
      <c r="A319" s="4" t="s">
        <v>3</v>
      </c>
      <c r="E319" s="57" t="s">
        <v>49</v>
      </c>
      <c r="F319" s="57"/>
      <c r="G319" s="57"/>
      <c r="H319" s="57"/>
      <c r="I319" s="57"/>
      <c r="J319" s="57"/>
      <c r="K319" s="57"/>
      <c r="L319" s="57"/>
      <c r="M319" s="58"/>
    </row>
    <row r="320" spans="1:14" x14ac:dyDescent="0.35">
      <c r="A320" s="4"/>
      <c r="E320" s="57"/>
      <c r="F320" s="57"/>
      <c r="G320" s="57"/>
      <c r="H320" s="57"/>
      <c r="I320" s="57"/>
      <c r="J320" s="57"/>
      <c r="K320" s="57"/>
      <c r="L320" s="57"/>
      <c r="M320" s="58"/>
    </row>
    <row r="321" spans="1:14" x14ac:dyDescent="0.35">
      <c r="A321" s="4"/>
      <c r="E321" s="57"/>
      <c r="F321" s="57"/>
      <c r="G321" s="57"/>
      <c r="H321" s="57"/>
      <c r="I321" s="57"/>
      <c r="J321" s="57"/>
      <c r="K321" s="57"/>
      <c r="L321" s="57"/>
      <c r="M321" s="58"/>
    </row>
    <row r="322" spans="1:14" ht="15" thickBot="1" x14ac:dyDescent="0.4">
      <c r="A322" s="9"/>
      <c r="B322" s="34"/>
      <c r="C322" s="34"/>
      <c r="D322" s="34"/>
      <c r="E322" s="59"/>
      <c r="F322" s="59"/>
      <c r="G322" s="59"/>
      <c r="H322" s="59"/>
      <c r="I322" s="59"/>
      <c r="J322" s="59"/>
      <c r="K322" s="59"/>
      <c r="L322" s="59"/>
      <c r="M322" s="60"/>
    </row>
    <row r="323" spans="1:14" x14ac:dyDescent="0.35">
      <c r="N323" t="s">
        <v>1</v>
      </c>
    </row>
    <row r="324" spans="1:14" ht="15" thickBot="1" x14ac:dyDescent="0.4">
      <c r="N324" t="s">
        <v>65</v>
      </c>
    </row>
    <row r="325" spans="1:14" ht="21" x14ac:dyDescent="0.5">
      <c r="A325" s="23" t="s">
        <v>50</v>
      </c>
      <c r="B325" s="35"/>
      <c r="C325" s="35"/>
      <c r="D325" s="35"/>
      <c r="E325" s="2"/>
      <c r="F325" s="2" t="s">
        <v>4</v>
      </c>
      <c r="G325" s="2"/>
      <c r="H325" s="2" t="s">
        <v>67</v>
      </c>
      <c r="I325" s="2" t="s">
        <v>5</v>
      </c>
      <c r="J325" s="2" t="s">
        <v>6</v>
      </c>
      <c r="K325" s="2"/>
      <c r="L325" s="2" t="s">
        <v>7</v>
      </c>
      <c r="M325" s="3" t="s">
        <v>8</v>
      </c>
    </row>
    <row r="326" spans="1:14" x14ac:dyDescent="0.35">
      <c r="A326" s="4">
        <v>13</v>
      </c>
      <c r="M326" s="5"/>
    </row>
    <row r="327" spans="1:14" x14ac:dyDescent="0.35">
      <c r="A327" s="6" t="s">
        <v>0</v>
      </c>
      <c r="B327" s="27"/>
      <c r="C327" s="27"/>
      <c r="D327" s="27"/>
      <c r="F327" s="24"/>
      <c r="G327" s="24"/>
      <c r="H327" s="24"/>
      <c r="I327" s="24"/>
      <c r="J327" s="24"/>
      <c r="K327" s="24"/>
      <c r="L327" s="24"/>
      <c r="M327" s="25"/>
    </row>
    <row r="328" spans="1:14" x14ac:dyDescent="0.35">
      <c r="A328" s="7" t="s">
        <v>1</v>
      </c>
      <c r="B328" s="28"/>
      <c r="C328" s="28"/>
      <c r="D328" s="28"/>
      <c r="F328" s="24"/>
      <c r="G328" s="24"/>
      <c r="H328" s="24"/>
      <c r="I328" s="24"/>
      <c r="J328" s="24"/>
      <c r="K328" s="24"/>
      <c r="L328" s="24"/>
      <c r="M328" s="25"/>
    </row>
    <row r="329" spans="1:14" x14ac:dyDescent="0.35">
      <c r="A329" s="8" t="s">
        <v>2</v>
      </c>
      <c r="B329" s="29"/>
      <c r="C329" s="29"/>
      <c r="D329" s="29"/>
      <c r="F329" s="24"/>
      <c r="G329" s="24"/>
      <c r="H329" s="24"/>
      <c r="I329" s="24"/>
      <c r="J329" s="24"/>
      <c r="K329" s="24"/>
      <c r="L329" s="24"/>
      <c r="M329" s="25"/>
    </row>
    <row r="330" spans="1:14" x14ac:dyDescent="0.35">
      <c r="A330" s="4"/>
      <c r="M330" s="5"/>
    </row>
    <row r="331" spans="1:14" x14ac:dyDescent="0.35">
      <c r="A331" s="4" t="s">
        <v>3</v>
      </c>
      <c r="E331" s="57"/>
      <c r="F331" s="57"/>
      <c r="G331" s="57"/>
      <c r="H331" s="57"/>
      <c r="I331" s="57"/>
      <c r="J331" s="57"/>
      <c r="K331" s="57"/>
      <c r="L331" s="57"/>
      <c r="M331" s="58"/>
    </row>
    <row r="332" spans="1:14" x14ac:dyDescent="0.35">
      <c r="A332" s="4"/>
      <c r="E332" s="57"/>
      <c r="F332" s="57"/>
      <c r="G332" s="57"/>
      <c r="H332" s="57"/>
      <c r="I332" s="57"/>
      <c r="J332" s="57"/>
      <c r="K332" s="57"/>
      <c r="L332" s="57"/>
      <c r="M332" s="58"/>
    </row>
    <row r="333" spans="1:14" x14ac:dyDescent="0.35">
      <c r="A333" s="4"/>
      <c r="E333" s="57"/>
      <c r="F333" s="57"/>
      <c r="G333" s="57"/>
      <c r="H333" s="57"/>
      <c r="I333" s="57"/>
      <c r="J333" s="57"/>
      <c r="K333" s="57"/>
      <c r="L333" s="57"/>
      <c r="M333" s="58"/>
    </row>
    <row r="334" spans="1:14" ht="15" thickBot="1" x14ac:dyDescent="0.4">
      <c r="A334" s="9"/>
      <c r="B334" s="34"/>
      <c r="C334" s="34"/>
      <c r="D334" s="34"/>
      <c r="E334" s="59"/>
      <c r="F334" s="59"/>
      <c r="G334" s="59"/>
      <c r="H334" s="59"/>
      <c r="I334" s="59"/>
      <c r="J334" s="59"/>
      <c r="K334" s="59"/>
      <c r="L334" s="59"/>
      <c r="M334" s="60"/>
    </row>
    <row r="336" spans="1:14" ht="15" thickBot="1" x14ac:dyDescent="0.4"/>
    <row r="337" spans="1:13" ht="21" x14ac:dyDescent="0.5">
      <c r="A337" s="23" t="s">
        <v>60</v>
      </c>
      <c r="B337" s="35"/>
      <c r="C337" s="35"/>
      <c r="D337" s="35"/>
      <c r="E337" s="2"/>
      <c r="F337" s="2" t="s">
        <v>4</v>
      </c>
      <c r="G337" s="2"/>
      <c r="H337" s="2" t="s">
        <v>67</v>
      </c>
      <c r="I337" s="2" t="s">
        <v>5</v>
      </c>
      <c r="J337" s="2" t="s">
        <v>6</v>
      </c>
      <c r="K337" s="2"/>
      <c r="L337" s="2" t="s">
        <v>7</v>
      </c>
      <c r="M337" s="3" t="s">
        <v>8</v>
      </c>
    </row>
    <row r="338" spans="1:13" x14ac:dyDescent="0.35">
      <c r="A338" s="4">
        <v>13</v>
      </c>
      <c r="M338" s="5"/>
    </row>
    <row r="339" spans="1:13" x14ac:dyDescent="0.35">
      <c r="A339" s="6" t="s">
        <v>0</v>
      </c>
      <c r="B339" s="27"/>
      <c r="C339" s="27"/>
      <c r="D339" s="27"/>
      <c r="F339" s="30"/>
      <c r="G339" s="30"/>
      <c r="H339" s="30"/>
      <c r="I339" s="30"/>
      <c r="J339" s="30"/>
      <c r="K339" s="30"/>
      <c r="L339" s="30"/>
      <c r="M339" s="31"/>
    </row>
    <row r="340" spans="1:13" x14ac:dyDescent="0.35">
      <c r="A340" s="7" t="s">
        <v>1</v>
      </c>
      <c r="B340" s="28"/>
      <c r="C340" s="28"/>
      <c r="D340" s="28"/>
      <c r="F340" s="30"/>
      <c r="G340" s="30"/>
      <c r="H340" s="30"/>
      <c r="I340" s="30"/>
      <c r="J340" s="30"/>
      <c r="K340" s="30"/>
      <c r="L340" s="30"/>
      <c r="M340" s="31"/>
    </row>
    <row r="341" spans="1:13" x14ac:dyDescent="0.35">
      <c r="A341" s="8" t="s">
        <v>2</v>
      </c>
      <c r="B341" s="29"/>
      <c r="C341" s="29"/>
      <c r="D341" s="29"/>
      <c r="F341" s="30"/>
      <c r="G341" s="30"/>
      <c r="H341" s="30"/>
      <c r="I341" s="30"/>
      <c r="J341" s="30"/>
      <c r="K341" s="30"/>
      <c r="L341" s="30"/>
      <c r="M341" s="31"/>
    </row>
    <row r="342" spans="1:13" x14ac:dyDescent="0.35">
      <c r="A342" s="4"/>
      <c r="M342" s="5"/>
    </row>
    <row r="343" spans="1:13" x14ac:dyDescent="0.35">
      <c r="A343" s="4" t="s">
        <v>3</v>
      </c>
      <c r="E343" s="57"/>
      <c r="F343" s="57"/>
      <c r="G343" s="57"/>
      <c r="H343" s="57"/>
      <c r="I343" s="57"/>
      <c r="J343" s="57"/>
      <c r="K343" s="57"/>
      <c r="L343" s="57"/>
      <c r="M343" s="58"/>
    </row>
    <row r="344" spans="1:13" x14ac:dyDescent="0.35">
      <c r="A344" s="4"/>
      <c r="E344" s="57"/>
      <c r="F344" s="57"/>
      <c r="G344" s="57"/>
      <c r="H344" s="57"/>
      <c r="I344" s="57"/>
      <c r="J344" s="57"/>
      <c r="K344" s="57"/>
      <c r="L344" s="57"/>
      <c r="M344" s="58"/>
    </row>
    <row r="345" spans="1:13" x14ac:dyDescent="0.35">
      <c r="A345" s="4"/>
      <c r="E345" s="57"/>
      <c r="F345" s="57"/>
      <c r="G345" s="57"/>
      <c r="H345" s="57"/>
      <c r="I345" s="57"/>
      <c r="J345" s="57"/>
      <c r="K345" s="57"/>
      <c r="L345" s="57"/>
      <c r="M345" s="58"/>
    </row>
    <row r="346" spans="1:13" ht="15" thickBot="1" x14ac:dyDescent="0.4">
      <c r="A346" s="9"/>
      <c r="B346" s="34"/>
      <c r="C346" s="34"/>
      <c r="D346" s="34"/>
      <c r="E346" s="59"/>
      <c r="F346" s="59"/>
      <c r="G346" s="59"/>
      <c r="H346" s="59"/>
      <c r="I346" s="59"/>
      <c r="J346" s="59"/>
      <c r="K346" s="59"/>
      <c r="L346" s="59"/>
      <c r="M346" s="60"/>
    </row>
    <row r="348" spans="1:13" ht="15" thickBot="1" x14ac:dyDescent="0.4"/>
    <row r="349" spans="1:13" ht="21" x14ac:dyDescent="0.5">
      <c r="A349" s="23" t="s">
        <v>62</v>
      </c>
      <c r="B349" s="35"/>
      <c r="C349" s="35"/>
      <c r="D349" s="35"/>
      <c r="E349" s="2"/>
      <c r="F349" s="2" t="s">
        <v>4</v>
      </c>
      <c r="G349" s="2"/>
      <c r="H349" s="2" t="s">
        <v>67</v>
      </c>
      <c r="I349" s="2" t="s">
        <v>5</v>
      </c>
      <c r="J349" s="2" t="s">
        <v>6</v>
      </c>
      <c r="K349" s="2"/>
      <c r="L349" s="2" t="s">
        <v>7</v>
      </c>
      <c r="M349" s="3" t="s">
        <v>8</v>
      </c>
    </row>
    <row r="350" spans="1:13" x14ac:dyDescent="0.35">
      <c r="A350" s="4">
        <v>13</v>
      </c>
      <c r="M350" s="5"/>
    </row>
    <row r="351" spans="1:13" x14ac:dyDescent="0.35">
      <c r="A351" s="6" t="s">
        <v>0</v>
      </c>
      <c r="B351" s="27"/>
      <c r="C351" s="27"/>
      <c r="D351" s="27"/>
      <c r="F351" s="24"/>
      <c r="G351" s="24"/>
      <c r="H351" s="24"/>
      <c r="I351" s="24"/>
      <c r="J351" s="24"/>
      <c r="K351" s="24"/>
      <c r="L351" s="24"/>
      <c r="M351" s="25"/>
    </row>
    <row r="352" spans="1:13" x14ac:dyDescent="0.35">
      <c r="A352" s="7" t="s">
        <v>1</v>
      </c>
      <c r="B352" s="28"/>
      <c r="C352" s="28"/>
      <c r="D352" s="28"/>
      <c r="F352" s="26"/>
      <c r="G352" s="26"/>
      <c r="H352" s="24"/>
      <c r="I352" s="24"/>
      <c r="J352" s="24"/>
      <c r="K352" s="24"/>
      <c r="L352" s="24"/>
      <c r="M352" s="25"/>
    </row>
    <row r="353" spans="1:13" x14ac:dyDescent="0.35">
      <c r="A353" s="8" t="s">
        <v>2</v>
      </c>
      <c r="B353" s="29"/>
      <c r="C353" s="29"/>
      <c r="D353" s="29"/>
      <c r="F353" s="24"/>
      <c r="G353" s="24"/>
      <c r="H353" s="24"/>
      <c r="I353" s="24"/>
      <c r="J353" s="24"/>
      <c r="K353" s="24"/>
      <c r="L353" s="24"/>
      <c r="M353" s="25"/>
    </row>
    <row r="354" spans="1:13" x14ac:dyDescent="0.35">
      <c r="A354" s="4"/>
      <c r="M354" s="5"/>
    </row>
    <row r="355" spans="1:13" x14ac:dyDescent="0.35">
      <c r="A355" s="4" t="s">
        <v>3</v>
      </c>
      <c r="E355" s="57"/>
      <c r="F355" s="57"/>
      <c r="G355" s="57"/>
      <c r="H355" s="57"/>
      <c r="I355" s="57"/>
      <c r="J355" s="57"/>
      <c r="K355" s="57"/>
      <c r="L355" s="57"/>
      <c r="M355" s="58"/>
    </row>
    <row r="356" spans="1:13" x14ac:dyDescent="0.35">
      <c r="A356" s="4"/>
      <c r="E356" s="57"/>
      <c r="F356" s="57"/>
      <c r="G356" s="57"/>
      <c r="H356" s="57"/>
      <c r="I356" s="57"/>
      <c r="J356" s="57"/>
      <c r="K356" s="57"/>
      <c r="L356" s="57"/>
      <c r="M356" s="58"/>
    </row>
    <row r="357" spans="1:13" x14ac:dyDescent="0.35">
      <c r="A357" s="4"/>
      <c r="E357" s="57"/>
      <c r="F357" s="57"/>
      <c r="G357" s="57"/>
      <c r="H357" s="57"/>
      <c r="I357" s="57"/>
      <c r="J357" s="57"/>
      <c r="K357" s="57"/>
      <c r="L357" s="57"/>
      <c r="M357" s="58"/>
    </row>
    <row r="358" spans="1:13" ht="15" thickBot="1" x14ac:dyDescent="0.4">
      <c r="A358" s="9"/>
      <c r="B358" s="34"/>
      <c r="C358" s="34"/>
      <c r="D358" s="34"/>
      <c r="E358" s="59"/>
      <c r="F358" s="59"/>
      <c r="G358" s="59"/>
      <c r="H358" s="59"/>
      <c r="I358" s="59"/>
      <c r="J358" s="59"/>
      <c r="K358" s="59"/>
      <c r="L358" s="59"/>
      <c r="M358" s="60"/>
    </row>
    <row r="360" spans="1:13" ht="15" thickBot="1" x14ac:dyDescent="0.4"/>
    <row r="361" spans="1:13" ht="21" x14ac:dyDescent="0.5">
      <c r="A361" s="40" t="s">
        <v>64</v>
      </c>
      <c r="B361" s="33"/>
      <c r="C361" s="33"/>
      <c r="D361" s="33"/>
      <c r="E361" s="2"/>
      <c r="F361" s="2" t="s">
        <v>4</v>
      </c>
      <c r="G361" s="2"/>
      <c r="H361" s="2" t="s">
        <v>67</v>
      </c>
      <c r="I361" s="2" t="s">
        <v>5</v>
      </c>
      <c r="J361" s="2" t="s">
        <v>6</v>
      </c>
      <c r="K361" s="2"/>
      <c r="L361" s="2" t="s">
        <v>7</v>
      </c>
      <c r="M361" s="3" t="s">
        <v>8</v>
      </c>
    </row>
    <row r="362" spans="1:13" x14ac:dyDescent="0.35">
      <c r="A362" s="4">
        <v>13</v>
      </c>
      <c r="M362" s="5"/>
    </row>
    <row r="363" spans="1:13" x14ac:dyDescent="0.35">
      <c r="A363" s="6" t="s">
        <v>0</v>
      </c>
      <c r="B363" s="27"/>
      <c r="C363" s="27"/>
      <c r="D363" s="27"/>
      <c r="F363" s="24"/>
      <c r="G363" s="24"/>
      <c r="H363" s="24"/>
      <c r="I363" s="24"/>
      <c r="J363" s="24"/>
      <c r="K363" s="24"/>
      <c r="L363" s="24"/>
      <c r="M363" s="25"/>
    </row>
    <row r="364" spans="1:13" x14ac:dyDescent="0.35">
      <c r="A364" s="7" t="s">
        <v>1</v>
      </c>
      <c r="B364" s="28"/>
      <c r="C364" s="28">
        <v>0.09</v>
      </c>
      <c r="D364" s="28"/>
      <c r="F364" s="10" t="s">
        <v>75</v>
      </c>
      <c r="G364" s="10" t="s">
        <v>76</v>
      </c>
      <c r="H364" s="10">
        <v>127</v>
      </c>
      <c r="I364">
        <v>65</v>
      </c>
      <c r="J364">
        <v>4</v>
      </c>
      <c r="L364">
        <v>9</v>
      </c>
      <c r="M364" s="5">
        <v>4</v>
      </c>
    </row>
    <row r="365" spans="1:13" x14ac:dyDescent="0.35">
      <c r="A365" s="8" t="s">
        <v>2</v>
      </c>
      <c r="B365" s="29"/>
      <c r="C365" s="29"/>
      <c r="D365" s="29"/>
      <c r="F365" s="24"/>
      <c r="G365" s="24"/>
      <c r="H365" s="24"/>
      <c r="I365" s="24"/>
      <c r="J365" s="24"/>
      <c r="K365" s="24"/>
      <c r="L365" s="24"/>
      <c r="M365" s="25"/>
    </row>
    <row r="366" spans="1:13" x14ac:dyDescent="0.35">
      <c r="A366" s="4"/>
      <c r="M366" s="5"/>
    </row>
    <row r="367" spans="1:13" x14ac:dyDescent="0.35">
      <c r="A367" s="4" t="s">
        <v>3</v>
      </c>
      <c r="E367" s="57"/>
      <c r="F367" s="57"/>
      <c r="G367" s="57"/>
      <c r="H367" s="57"/>
      <c r="I367" s="57"/>
      <c r="J367" s="57"/>
      <c r="K367" s="57"/>
      <c r="L367" s="57"/>
      <c r="M367" s="58"/>
    </row>
    <row r="368" spans="1:13" x14ac:dyDescent="0.35">
      <c r="A368" s="4"/>
      <c r="E368" s="57"/>
      <c r="F368" s="57"/>
      <c r="G368" s="57"/>
      <c r="H368" s="57"/>
      <c r="I368" s="57"/>
      <c r="J368" s="57"/>
      <c r="K368" s="57"/>
      <c r="L368" s="57"/>
      <c r="M368" s="58"/>
    </row>
    <row r="369" spans="1:13" x14ac:dyDescent="0.35">
      <c r="A369" s="4"/>
      <c r="E369" s="57"/>
      <c r="F369" s="57"/>
      <c r="G369" s="57"/>
      <c r="H369" s="57"/>
      <c r="I369" s="57"/>
      <c r="J369" s="57"/>
      <c r="K369" s="57"/>
      <c r="L369" s="57"/>
      <c r="M369" s="58"/>
    </row>
    <row r="370" spans="1:13" ht="15" thickBot="1" x14ac:dyDescent="0.4">
      <c r="A370" s="9"/>
      <c r="B370" s="34"/>
      <c r="C370" s="34"/>
      <c r="D370" s="34"/>
      <c r="E370" s="59"/>
      <c r="F370" s="59"/>
      <c r="G370" s="59"/>
      <c r="H370" s="59"/>
      <c r="I370" s="59"/>
      <c r="J370" s="59"/>
      <c r="K370" s="59"/>
      <c r="L370" s="59"/>
      <c r="M370" s="60"/>
    </row>
    <row r="372" spans="1:13" ht="15" thickBot="1" x14ac:dyDescent="0.4"/>
    <row r="373" spans="1:13" ht="21" x14ac:dyDescent="0.5">
      <c r="A373" s="23" t="s">
        <v>77</v>
      </c>
      <c r="B373" s="33"/>
      <c r="C373" s="33"/>
      <c r="D373" s="33"/>
      <c r="E373" s="2"/>
      <c r="F373" s="2" t="s">
        <v>4</v>
      </c>
      <c r="G373" s="2"/>
      <c r="H373" s="2" t="s">
        <v>67</v>
      </c>
      <c r="I373" s="2" t="s">
        <v>5</v>
      </c>
      <c r="J373" s="2" t="s">
        <v>6</v>
      </c>
      <c r="K373" s="2"/>
      <c r="L373" s="2" t="s">
        <v>7</v>
      </c>
      <c r="M373" s="3" t="s">
        <v>8</v>
      </c>
    </row>
    <row r="374" spans="1:13" x14ac:dyDescent="0.35">
      <c r="A374" s="4">
        <v>13</v>
      </c>
      <c r="M374" s="5"/>
    </row>
    <row r="375" spans="1:13" x14ac:dyDescent="0.35">
      <c r="A375" s="6" t="s">
        <v>0</v>
      </c>
      <c r="B375" s="27"/>
      <c r="C375" s="27"/>
      <c r="D375" s="27"/>
      <c r="F375" s="30"/>
      <c r="G375" s="30"/>
      <c r="H375" s="30"/>
      <c r="I375" s="30"/>
      <c r="J375" s="30"/>
      <c r="K375" s="30"/>
      <c r="L375" s="30"/>
      <c r="M375" s="31"/>
    </row>
    <row r="376" spans="1:13" x14ac:dyDescent="0.35">
      <c r="A376" s="7" t="s">
        <v>1</v>
      </c>
      <c r="B376" s="28"/>
      <c r="C376" s="28"/>
      <c r="D376" s="28"/>
      <c r="F376" s="30"/>
      <c r="G376" s="30"/>
      <c r="H376" s="30"/>
      <c r="I376" s="30"/>
      <c r="J376" s="30"/>
      <c r="K376" s="30"/>
      <c r="L376" s="30"/>
      <c r="M376" s="31"/>
    </row>
    <row r="377" spans="1:13" x14ac:dyDescent="0.35">
      <c r="A377" s="8" t="s">
        <v>2</v>
      </c>
      <c r="B377" s="29"/>
      <c r="C377" s="29"/>
      <c r="D377" s="29"/>
      <c r="F377" s="30"/>
      <c r="G377" s="30"/>
      <c r="H377" s="30"/>
      <c r="I377" s="30"/>
      <c r="J377" s="30"/>
      <c r="K377" s="30"/>
      <c r="L377" s="30"/>
      <c r="M377" s="31"/>
    </row>
    <row r="378" spans="1:13" x14ac:dyDescent="0.35">
      <c r="A378" s="4"/>
      <c r="M378" s="5"/>
    </row>
    <row r="379" spans="1:13" x14ac:dyDescent="0.35">
      <c r="A379" s="4" t="s">
        <v>3</v>
      </c>
      <c r="E379" s="57"/>
      <c r="F379" s="57"/>
      <c r="G379" s="57"/>
      <c r="H379" s="57"/>
      <c r="I379" s="57"/>
      <c r="J379" s="57"/>
      <c r="K379" s="57"/>
      <c r="L379" s="57"/>
      <c r="M379" s="58"/>
    </row>
    <row r="380" spans="1:13" x14ac:dyDescent="0.35">
      <c r="A380" s="4"/>
      <c r="E380" s="57"/>
      <c r="F380" s="57"/>
      <c r="G380" s="57"/>
      <c r="H380" s="57"/>
      <c r="I380" s="57"/>
      <c r="J380" s="57"/>
      <c r="K380" s="57"/>
      <c r="L380" s="57"/>
      <c r="M380" s="58"/>
    </row>
    <row r="381" spans="1:13" x14ac:dyDescent="0.35">
      <c r="A381" s="4"/>
      <c r="E381" s="57"/>
      <c r="F381" s="57"/>
      <c r="G381" s="57"/>
      <c r="H381" s="57"/>
      <c r="I381" s="57"/>
      <c r="J381" s="57"/>
      <c r="K381" s="57"/>
      <c r="L381" s="57"/>
      <c r="M381" s="58"/>
    </row>
    <row r="382" spans="1:13" ht="15" thickBot="1" x14ac:dyDescent="0.4">
      <c r="A382" s="9"/>
      <c r="B382" s="34"/>
      <c r="C382" s="34"/>
      <c r="D382" s="34"/>
      <c r="E382" s="59"/>
      <c r="F382" s="59"/>
      <c r="G382" s="59"/>
      <c r="H382" s="59"/>
      <c r="I382" s="59"/>
      <c r="J382" s="59"/>
      <c r="K382" s="59"/>
      <c r="L382" s="59"/>
      <c r="M382" s="60"/>
    </row>
    <row r="384" spans="1:13" ht="15" thickBot="1" x14ac:dyDescent="0.4"/>
    <row r="385" spans="1:13" ht="21" x14ac:dyDescent="0.5">
      <c r="A385" s="23" t="s">
        <v>78</v>
      </c>
      <c r="B385" s="33"/>
      <c r="C385" s="33"/>
      <c r="D385" s="33"/>
      <c r="E385" s="2"/>
      <c r="F385" s="2" t="s">
        <v>4</v>
      </c>
      <c r="G385" s="2"/>
      <c r="H385" s="2" t="s">
        <v>67</v>
      </c>
      <c r="I385" s="2" t="s">
        <v>5</v>
      </c>
      <c r="J385" s="2" t="s">
        <v>6</v>
      </c>
      <c r="K385" s="2"/>
      <c r="L385" s="2" t="s">
        <v>7</v>
      </c>
      <c r="M385" s="3" t="s">
        <v>8</v>
      </c>
    </row>
    <row r="386" spans="1:13" x14ac:dyDescent="0.35">
      <c r="A386" s="4">
        <v>13</v>
      </c>
      <c r="M386" s="5"/>
    </row>
    <row r="387" spans="1:13" x14ac:dyDescent="0.35">
      <c r="A387" s="6" t="s">
        <v>0</v>
      </c>
      <c r="B387" s="27"/>
      <c r="C387" s="27"/>
      <c r="D387" s="27"/>
      <c r="F387" s="24"/>
      <c r="G387" s="24"/>
      <c r="H387" s="24"/>
      <c r="I387" s="24"/>
      <c r="J387" s="24"/>
      <c r="K387" s="24"/>
      <c r="L387" s="24"/>
      <c r="M387" s="25"/>
    </row>
    <row r="388" spans="1:13" x14ac:dyDescent="0.35">
      <c r="A388" s="7" t="s">
        <v>1</v>
      </c>
      <c r="B388" s="28"/>
      <c r="C388" s="28"/>
      <c r="D388" s="28"/>
      <c r="F388" s="24"/>
      <c r="G388" s="24"/>
      <c r="H388" s="24"/>
      <c r="I388" s="24"/>
      <c r="J388" s="24"/>
      <c r="K388" s="24"/>
      <c r="L388" s="24"/>
      <c r="M388" s="25"/>
    </row>
    <row r="389" spans="1:13" x14ac:dyDescent="0.35">
      <c r="A389" s="8" t="s">
        <v>2</v>
      </c>
      <c r="B389" s="29"/>
      <c r="C389" s="29"/>
      <c r="D389" s="29"/>
      <c r="F389" s="24"/>
      <c r="G389" s="24"/>
      <c r="H389" s="24"/>
      <c r="I389" s="24"/>
      <c r="J389" s="24"/>
      <c r="K389" s="24"/>
      <c r="L389" s="24"/>
      <c r="M389" s="25"/>
    </row>
    <row r="390" spans="1:13" x14ac:dyDescent="0.35">
      <c r="A390" s="4"/>
      <c r="M390" s="5"/>
    </row>
    <row r="391" spans="1:13" x14ac:dyDescent="0.35">
      <c r="A391" s="4" t="s">
        <v>3</v>
      </c>
      <c r="E391" s="57"/>
      <c r="F391" s="57"/>
      <c r="G391" s="57"/>
      <c r="H391" s="57"/>
      <c r="I391" s="57"/>
      <c r="J391" s="57"/>
      <c r="K391" s="57"/>
      <c r="L391" s="57"/>
      <c r="M391" s="58"/>
    </row>
    <row r="392" spans="1:13" x14ac:dyDescent="0.35">
      <c r="A392" s="4"/>
      <c r="E392" s="57"/>
      <c r="F392" s="57"/>
      <c r="G392" s="57"/>
      <c r="H392" s="57"/>
      <c r="I392" s="57"/>
      <c r="J392" s="57"/>
      <c r="K392" s="57"/>
      <c r="L392" s="57"/>
      <c r="M392" s="58"/>
    </row>
    <row r="393" spans="1:13" x14ac:dyDescent="0.35">
      <c r="A393" s="4"/>
      <c r="E393" s="57"/>
      <c r="F393" s="57"/>
      <c r="G393" s="57"/>
      <c r="H393" s="57"/>
      <c r="I393" s="57"/>
      <c r="J393" s="57"/>
      <c r="K393" s="57"/>
      <c r="L393" s="57"/>
      <c r="M393" s="58"/>
    </row>
    <row r="394" spans="1:13" ht="15" thickBot="1" x14ac:dyDescent="0.4">
      <c r="A394" s="9"/>
      <c r="B394" s="34"/>
      <c r="C394" s="34"/>
      <c r="D394" s="34"/>
      <c r="E394" s="59"/>
      <c r="F394" s="59"/>
      <c r="G394" s="59"/>
      <c r="H394" s="59"/>
      <c r="I394" s="59"/>
      <c r="J394" s="59"/>
      <c r="K394" s="59"/>
      <c r="L394" s="59"/>
      <c r="M394" s="60"/>
    </row>
    <row r="396" spans="1:13" ht="15" thickBot="1" x14ac:dyDescent="0.4"/>
    <row r="397" spans="1:13" ht="21" x14ac:dyDescent="0.5">
      <c r="A397" s="23" t="s">
        <v>79</v>
      </c>
      <c r="B397" s="33"/>
      <c r="C397" s="33"/>
      <c r="D397" s="33"/>
      <c r="E397" s="2"/>
      <c r="F397" s="2" t="s">
        <v>4</v>
      </c>
      <c r="G397" s="2"/>
      <c r="H397" s="2" t="s">
        <v>67</v>
      </c>
      <c r="I397" s="2" t="s">
        <v>5</v>
      </c>
      <c r="J397" s="2" t="s">
        <v>6</v>
      </c>
      <c r="K397" s="2"/>
      <c r="L397" s="2" t="s">
        <v>7</v>
      </c>
      <c r="M397" s="3" t="s">
        <v>8</v>
      </c>
    </row>
    <row r="398" spans="1:13" x14ac:dyDescent="0.35">
      <c r="A398" s="4">
        <v>13</v>
      </c>
      <c r="M398" s="5"/>
    </row>
    <row r="399" spans="1:13" x14ac:dyDescent="0.35">
      <c r="A399" s="6" t="s">
        <v>0</v>
      </c>
      <c r="B399" s="27"/>
      <c r="C399" s="27"/>
      <c r="D399" s="27"/>
      <c r="F399" s="24"/>
      <c r="G399" s="24"/>
      <c r="H399" s="24"/>
      <c r="I399" s="24"/>
      <c r="J399" s="24"/>
      <c r="K399" s="24"/>
      <c r="L399" s="24"/>
      <c r="M399" s="25"/>
    </row>
    <row r="400" spans="1:13" x14ac:dyDescent="0.35">
      <c r="A400" s="7" t="s">
        <v>1</v>
      </c>
      <c r="B400" s="28"/>
      <c r="C400" s="28"/>
      <c r="D400" s="28"/>
      <c r="F400" s="24"/>
      <c r="G400" s="24"/>
      <c r="H400" s="24"/>
      <c r="I400" s="24"/>
      <c r="J400" s="24"/>
      <c r="K400" s="24"/>
      <c r="L400" s="24"/>
      <c r="M400" s="25"/>
    </row>
    <row r="401" spans="1:14" x14ac:dyDescent="0.35">
      <c r="A401" s="8" t="s">
        <v>2</v>
      </c>
      <c r="B401" s="29"/>
      <c r="C401" s="29"/>
      <c r="D401" s="29"/>
      <c r="F401" s="24"/>
      <c r="G401" s="24"/>
      <c r="H401" s="24"/>
      <c r="I401" s="24"/>
      <c r="J401" s="24"/>
      <c r="K401" s="24"/>
      <c r="L401" s="24"/>
      <c r="M401" s="25"/>
    </row>
    <row r="402" spans="1:14" x14ac:dyDescent="0.35">
      <c r="A402" s="4"/>
      <c r="M402" s="5"/>
    </row>
    <row r="403" spans="1:14" x14ac:dyDescent="0.35">
      <c r="A403" s="4" t="s">
        <v>3</v>
      </c>
      <c r="E403" s="57"/>
      <c r="F403" s="57"/>
      <c r="G403" s="57"/>
      <c r="H403" s="57"/>
      <c r="I403" s="57"/>
      <c r="J403" s="57"/>
      <c r="K403" s="57"/>
      <c r="L403" s="57"/>
      <c r="M403" s="58"/>
    </row>
    <row r="404" spans="1:14" x14ac:dyDescent="0.35">
      <c r="A404" s="4"/>
      <c r="E404" s="57"/>
      <c r="F404" s="57"/>
      <c r="G404" s="57"/>
      <c r="H404" s="57"/>
      <c r="I404" s="57"/>
      <c r="J404" s="57"/>
      <c r="K404" s="57"/>
      <c r="L404" s="57"/>
      <c r="M404" s="58"/>
    </row>
    <row r="405" spans="1:14" x14ac:dyDescent="0.35">
      <c r="A405" s="4"/>
      <c r="E405" s="57"/>
      <c r="F405" s="57"/>
      <c r="G405" s="57"/>
      <c r="H405" s="57"/>
      <c r="I405" s="57"/>
      <c r="J405" s="57"/>
      <c r="K405" s="57"/>
      <c r="L405" s="57"/>
      <c r="M405" s="58"/>
    </row>
    <row r="406" spans="1:14" ht="15" thickBot="1" x14ac:dyDescent="0.4">
      <c r="A406" s="9"/>
      <c r="B406" s="34"/>
      <c r="C406" s="34"/>
      <c r="D406" s="34"/>
      <c r="E406" s="59"/>
      <c r="F406" s="59"/>
      <c r="G406" s="59"/>
      <c r="H406" s="59"/>
      <c r="I406" s="59"/>
      <c r="J406" s="59"/>
      <c r="K406" s="59"/>
      <c r="L406" s="59"/>
      <c r="M406" s="60"/>
      <c r="N406" t="s">
        <v>1</v>
      </c>
    </row>
    <row r="407" spans="1:14" x14ac:dyDescent="0.35">
      <c r="N407" t="s">
        <v>83</v>
      </c>
    </row>
    <row r="408" spans="1:14" ht="15" thickBot="1" x14ac:dyDescent="0.4"/>
    <row r="409" spans="1:14" ht="21" x14ac:dyDescent="0.5">
      <c r="A409" s="23" t="s">
        <v>80</v>
      </c>
      <c r="B409" s="33"/>
      <c r="C409" s="33"/>
      <c r="D409" s="33"/>
      <c r="E409" s="2"/>
      <c r="F409" s="2" t="s">
        <v>4</v>
      </c>
      <c r="G409" s="2"/>
      <c r="H409" s="2" t="s">
        <v>67</v>
      </c>
      <c r="I409" s="2" t="s">
        <v>5</v>
      </c>
      <c r="J409" s="2" t="s">
        <v>6</v>
      </c>
      <c r="K409" s="2"/>
      <c r="L409" s="2" t="s">
        <v>7</v>
      </c>
      <c r="M409" s="3" t="s">
        <v>8</v>
      </c>
      <c r="N409" t="s">
        <v>0</v>
      </c>
    </row>
    <row r="410" spans="1:14" x14ac:dyDescent="0.35">
      <c r="A410" s="4">
        <v>13</v>
      </c>
      <c r="M410" s="5"/>
      <c r="N410" t="s">
        <v>84</v>
      </c>
    </row>
    <row r="411" spans="1:14" x14ac:dyDescent="0.35">
      <c r="A411" s="6" t="s">
        <v>0</v>
      </c>
      <c r="B411" s="27"/>
      <c r="C411" s="27"/>
      <c r="D411" s="27"/>
      <c r="F411" s="24"/>
      <c r="G411" s="24"/>
      <c r="H411" s="24"/>
      <c r="I411" s="24"/>
      <c r="J411" s="24"/>
      <c r="K411" s="24"/>
      <c r="L411" s="24"/>
      <c r="M411" s="25"/>
    </row>
    <row r="412" spans="1:14" x14ac:dyDescent="0.35">
      <c r="A412" s="7" t="s">
        <v>1</v>
      </c>
      <c r="B412" s="28"/>
      <c r="C412" s="28"/>
      <c r="D412" s="28"/>
      <c r="F412" s="24"/>
      <c r="G412" s="24"/>
      <c r="H412" s="24"/>
      <c r="I412" s="24"/>
      <c r="J412" s="24"/>
      <c r="K412" s="24"/>
      <c r="L412" s="24"/>
      <c r="M412" s="25"/>
    </row>
    <row r="413" spans="1:14" x14ac:dyDescent="0.35">
      <c r="A413" s="8" t="s">
        <v>2</v>
      </c>
      <c r="B413" s="29"/>
      <c r="C413" s="29"/>
      <c r="D413" s="29"/>
      <c r="F413" s="24"/>
      <c r="G413" s="24"/>
      <c r="H413" s="24"/>
      <c r="I413" s="24"/>
      <c r="J413" s="24"/>
      <c r="K413" s="24"/>
      <c r="L413" s="24"/>
      <c r="M413" s="25"/>
    </row>
    <row r="414" spans="1:14" x14ac:dyDescent="0.35">
      <c r="A414" s="4"/>
      <c r="M414" s="5"/>
    </row>
    <row r="415" spans="1:14" x14ac:dyDescent="0.35">
      <c r="A415" s="4" t="s">
        <v>3</v>
      </c>
      <c r="E415" s="57"/>
      <c r="F415" s="57"/>
      <c r="G415" s="57"/>
      <c r="H415" s="57"/>
      <c r="I415" s="57"/>
      <c r="J415" s="57"/>
      <c r="K415" s="57"/>
      <c r="L415" s="57"/>
      <c r="M415" s="58"/>
    </row>
    <row r="416" spans="1:14" x14ac:dyDescent="0.35">
      <c r="A416" s="4"/>
      <c r="E416" s="57"/>
      <c r="F416" s="57"/>
      <c r="G416" s="57"/>
      <c r="H416" s="57"/>
      <c r="I416" s="57"/>
      <c r="J416" s="57"/>
      <c r="K416" s="57"/>
      <c r="L416" s="57"/>
      <c r="M416" s="58"/>
    </row>
    <row r="417" spans="1:13" x14ac:dyDescent="0.35">
      <c r="A417" s="4"/>
      <c r="E417" s="57"/>
      <c r="F417" s="57"/>
      <c r="G417" s="57"/>
      <c r="H417" s="57"/>
      <c r="I417" s="57"/>
      <c r="J417" s="57"/>
      <c r="K417" s="57"/>
      <c r="L417" s="57"/>
      <c r="M417" s="58"/>
    </row>
    <row r="418" spans="1:13" ht="15" thickBot="1" x14ac:dyDescent="0.4">
      <c r="A418" s="9"/>
      <c r="B418" s="34"/>
      <c r="C418" s="34"/>
      <c r="D418" s="34"/>
      <c r="E418" s="59"/>
      <c r="F418" s="59"/>
      <c r="G418" s="59"/>
      <c r="H418" s="59"/>
      <c r="I418" s="59"/>
      <c r="J418" s="59"/>
      <c r="K418" s="59"/>
      <c r="L418" s="59"/>
      <c r="M418" s="60"/>
    </row>
    <row r="420" spans="1:13" ht="15" thickBot="1" x14ac:dyDescent="0.4"/>
    <row r="421" spans="1:13" ht="21" x14ac:dyDescent="0.5">
      <c r="A421" s="23" t="s">
        <v>81</v>
      </c>
      <c r="B421" s="33"/>
      <c r="C421" s="33"/>
      <c r="D421" s="33"/>
      <c r="E421" s="2"/>
      <c r="F421" s="2" t="s">
        <v>4</v>
      </c>
      <c r="G421" s="2"/>
      <c r="H421" s="2" t="s">
        <v>67</v>
      </c>
      <c r="I421" s="2" t="s">
        <v>5</v>
      </c>
      <c r="J421" s="2" t="s">
        <v>6</v>
      </c>
      <c r="K421" s="2"/>
      <c r="L421" s="2" t="s">
        <v>7</v>
      </c>
      <c r="M421" s="3" t="s">
        <v>8</v>
      </c>
    </row>
    <row r="422" spans="1:13" x14ac:dyDescent="0.35">
      <c r="A422" s="4">
        <v>13</v>
      </c>
      <c r="M422" s="5"/>
    </row>
    <row r="423" spans="1:13" x14ac:dyDescent="0.35">
      <c r="A423" s="6" t="s">
        <v>0</v>
      </c>
      <c r="B423" s="27"/>
      <c r="C423" s="27"/>
      <c r="D423" s="27"/>
      <c r="F423" s="24"/>
      <c r="G423" s="24"/>
      <c r="H423" s="24"/>
      <c r="I423" s="24"/>
      <c r="J423" s="24"/>
      <c r="K423" s="24"/>
      <c r="L423" s="24"/>
      <c r="M423" s="25"/>
    </row>
    <row r="424" spans="1:13" x14ac:dyDescent="0.35">
      <c r="A424" s="7" t="s">
        <v>1</v>
      </c>
      <c r="B424" s="28"/>
      <c r="C424" s="28"/>
      <c r="D424" s="28"/>
      <c r="F424" s="24"/>
      <c r="G424" s="24"/>
      <c r="H424" s="24"/>
      <c r="I424" s="24"/>
      <c r="J424" s="24"/>
      <c r="K424" s="24"/>
      <c r="L424" s="24"/>
      <c r="M424" s="25"/>
    </row>
    <row r="425" spans="1:13" x14ac:dyDescent="0.35">
      <c r="A425" s="8" t="s">
        <v>2</v>
      </c>
      <c r="B425" s="29"/>
      <c r="C425" s="29"/>
      <c r="D425" s="29"/>
      <c r="F425" s="24"/>
      <c r="G425" s="24"/>
      <c r="H425" s="24"/>
      <c r="I425" s="24"/>
      <c r="J425" s="24"/>
      <c r="K425" s="24"/>
      <c r="L425" s="24"/>
      <c r="M425" s="25"/>
    </row>
    <row r="426" spans="1:13" x14ac:dyDescent="0.35">
      <c r="A426" s="4"/>
      <c r="M426" s="5"/>
    </row>
    <row r="427" spans="1:13" x14ac:dyDescent="0.35">
      <c r="A427" s="4" t="s">
        <v>3</v>
      </c>
      <c r="E427" s="57"/>
      <c r="F427" s="57"/>
      <c r="G427" s="57"/>
      <c r="H427" s="57"/>
      <c r="I427" s="57"/>
      <c r="J427" s="57"/>
      <c r="K427" s="57"/>
      <c r="L427" s="57"/>
      <c r="M427" s="58"/>
    </row>
    <row r="428" spans="1:13" x14ac:dyDescent="0.35">
      <c r="A428" s="4"/>
      <c r="E428" s="57"/>
      <c r="F428" s="57"/>
      <c r="G428" s="57"/>
      <c r="H428" s="57"/>
      <c r="I428" s="57"/>
      <c r="J428" s="57"/>
      <c r="K428" s="57"/>
      <c r="L428" s="57"/>
      <c r="M428" s="58"/>
    </row>
    <row r="429" spans="1:13" x14ac:dyDescent="0.35">
      <c r="A429" s="4"/>
      <c r="E429" s="57"/>
      <c r="F429" s="57"/>
      <c r="G429" s="57"/>
      <c r="H429" s="57"/>
      <c r="I429" s="57"/>
      <c r="J429" s="57"/>
      <c r="K429" s="57"/>
      <c r="L429" s="57"/>
      <c r="M429" s="58"/>
    </row>
    <row r="430" spans="1:13" ht="15" thickBot="1" x14ac:dyDescent="0.4">
      <c r="A430" s="9"/>
      <c r="B430" s="34"/>
      <c r="C430" s="34"/>
      <c r="D430" s="34"/>
      <c r="E430" s="59"/>
      <c r="F430" s="59"/>
      <c r="G430" s="59"/>
      <c r="H430" s="59"/>
      <c r="I430" s="59"/>
      <c r="J430" s="59"/>
      <c r="K430" s="59"/>
      <c r="L430" s="59"/>
      <c r="M430" s="60"/>
    </row>
    <row r="432" spans="1:13" ht="15" thickBot="1" x14ac:dyDescent="0.4"/>
    <row r="433" spans="1:14" ht="21" x14ac:dyDescent="0.5">
      <c r="A433" s="23" t="s">
        <v>82</v>
      </c>
      <c r="B433" s="33"/>
      <c r="C433" s="33"/>
      <c r="D433" s="33"/>
      <c r="E433" s="2"/>
      <c r="F433" s="2" t="s">
        <v>4</v>
      </c>
      <c r="G433" s="2"/>
      <c r="H433" s="2" t="s">
        <v>67</v>
      </c>
      <c r="I433" s="2" t="s">
        <v>5</v>
      </c>
      <c r="J433" s="2" t="s">
        <v>6</v>
      </c>
      <c r="K433" s="2"/>
      <c r="L433" s="2" t="s">
        <v>7</v>
      </c>
      <c r="M433" s="3" t="s">
        <v>8</v>
      </c>
    </row>
    <row r="434" spans="1:14" x14ac:dyDescent="0.35">
      <c r="A434" s="4">
        <v>13</v>
      </c>
      <c r="M434" s="5"/>
    </row>
    <row r="435" spans="1:14" x14ac:dyDescent="0.35">
      <c r="A435" s="6" t="s">
        <v>0</v>
      </c>
      <c r="B435" s="27"/>
      <c r="C435" s="27"/>
      <c r="D435" s="27"/>
      <c r="F435" s="24"/>
      <c r="G435" s="24"/>
      <c r="H435" s="24"/>
      <c r="I435" s="24"/>
      <c r="J435" s="24"/>
      <c r="K435" s="24"/>
      <c r="L435" s="24"/>
      <c r="M435" s="25"/>
    </row>
    <row r="436" spans="1:14" x14ac:dyDescent="0.35">
      <c r="A436" s="7" t="s">
        <v>1</v>
      </c>
      <c r="B436" s="28"/>
      <c r="C436" s="28"/>
      <c r="D436" s="28"/>
      <c r="F436" s="24"/>
      <c r="G436" s="24"/>
      <c r="H436" s="24"/>
      <c r="I436" s="24"/>
      <c r="J436" s="24"/>
      <c r="K436" s="24"/>
      <c r="L436" s="24"/>
      <c r="M436" s="25"/>
    </row>
    <row r="437" spans="1:14" x14ac:dyDescent="0.35">
      <c r="A437" s="8" t="s">
        <v>2</v>
      </c>
      <c r="B437" s="29"/>
      <c r="C437" s="29"/>
      <c r="D437" s="29"/>
      <c r="F437" s="24"/>
      <c r="G437" s="24"/>
      <c r="H437" s="24"/>
      <c r="I437" s="24"/>
      <c r="J437" s="24"/>
      <c r="K437" s="24"/>
      <c r="L437" s="24"/>
      <c r="M437" s="25"/>
    </row>
    <row r="438" spans="1:14" x14ac:dyDescent="0.35">
      <c r="A438" s="4"/>
      <c r="M438" s="5"/>
    </row>
    <row r="439" spans="1:14" x14ac:dyDescent="0.35">
      <c r="A439" s="4" t="s">
        <v>3</v>
      </c>
      <c r="E439" s="57"/>
      <c r="F439" s="57"/>
      <c r="G439" s="57"/>
      <c r="H439" s="57"/>
      <c r="I439" s="57"/>
      <c r="J439" s="57"/>
      <c r="K439" s="57"/>
      <c r="L439" s="57"/>
      <c r="M439" s="58"/>
    </row>
    <row r="440" spans="1:14" x14ac:dyDescent="0.35">
      <c r="A440" s="4"/>
      <c r="E440" s="57"/>
      <c r="F440" s="57"/>
      <c r="G440" s="57"/>
      <c r="H440" s="57"/>
      <c r="I440" s="57"/>
      <c r="J440" s="57"/>
      <c r="K440" s="57"/>
      <c r="L440" s="57"/>
      <c r="M440" s="58"/>
    </row>
    <row r="441" spans="1:14" x14ac:dyDescent="0.35">
      <c r="A441" s="4"/>
      <c r="E441" s="57"/>
      <c r="F441" s="57"/>
      <c r="G441" s="57"/>
      <c r="H441" s="57"/>
      <c r="I441" s="57"/>
      <c r="J441" s="57"/>
      <c r="K441" s="57"/>
      <c r="L441" s="57"/>
      <c r="M441" s="58"/>
    </row>
    <row r="442" spans="1:14" ht="15" thickBot="1" x14ac:dyDescent="0.4">
      <c r="A442" s="9"/>
      <c r="B442" s="34"/>
      <c r="C442" s="34"/>
      <c r="D442" s="34"/>
      <c r="E442" s="59"/>
      <c r="F442" s="59"/>
      <c r="G442" s="59"/>
      <c r="H442" s="59"/>
      <c r="I442" s="59"/>
      <c r="J442" s="59"/>
      <c r="K442" s="59"/>
      <c r="L442" s="59"/>
      <c r="M442" s="60"/>
      <c r="N442" t="s">
        <v>1</v>
      </c>
    </row>
    <row r="443" spans="1:14" x14ac:dyDescent="0.35">
      <c r="N443" t="s">
        <v>39</v>
      </c>
    </row>
    <row r="444" spans="1:14" ht="15" thickBot="1" x14ac:dyDescent="0.4"/>
    <row r="445" spans="1:14" ht="21" x14ac:dyDescent="0.5">
      <c r="A445" s="40" t="s">
        <v>85</v>
      </c>
      <c r="B445" s="33"/>
      <c r="C445" s="33"/>
      <c r="D445" s="33"/>
      <c r="E445" s="2"/>
      <c r="F445" s="2" t="s">
        <v>4</v>
      </c>
      <c r="G445" s="2"/>
      <c r="H445" s="2" t="s">
        <v>67</v>
      </c>
      <c r="I445" s="2" t="s">
        <v>5</v>
      </c>
      <c r="J445" s="2" t="s">
        <v>6</v>
      </c>
      <c r="K445" s="2"/>
      <c r="L445" s="2" t="s">
        <v>7</v>
      </c>
      <c r="M445" s="3" t="s">
        <v>8</v>
      </c>
      <c r="N445" t="s">
        <v>0</v>
      </c>
    </row>
    <row r="446" spans="1:14" x14ac:dyDescent="0.35">
      <c r="A446" s="4">
        <v>13</v>
      </c>
      <c r="M446" s="5"/>
      <c r="N446">
        <v>10.5</v>
      </c>
    </row>
    <row r="447" spans="1:14" x14ac:dyDescent="0.35">
      <c r="A447" s="6" t="s">
        <v>0</v>
      </c>
      <c r="B447" s="27"/>
      <c r="C447" s="27"/>
      <c r="D447" s="27"/>
      <c r="F447" s="24"/>
      <c r="G447" s="24"/>
      <c r="H447" s="24"/>
      <c r="I447" s="24"/>
      <c r="J447" s="24"/>
      <c r="K447" s="24"/>
      <c r="L447" s="24"/>
      <c r="M447" s="25"/>
    </row>
    <row r="448" spans="1:14" x14ac:dyDescent="0.35">
      <c r="A448" s="7" t="s">
        <v>1</v>
      </c>
      <c r="B448" s="28"/>
      <c r="C448" s="28">
        <v>0.12</v>
      </c>
      <c r="D448" s="28"/>
      <c r="F448" s="10" t="s">
        <v>86</v>
      </c>
      <c r="G448" s="10" t="s">
        <v>87</v>
      </c>
      <c r="H448">
        <v>54</v>
      </c>
      <c r="I448">
        <v>94</v>
      </c>
      <c r="J448">
        <v>6</v>
      </c>
      <c r="L448">
        <v>11</v>
      </c>
      <c r="M448" s="5">
        <v>9</v>
      </c>
    </row>
    <row r="449" spans="1:13" x14ac:dyDescent="0.35">
      <c r="A449" s="8" t="s">
        <v>2</v>
      </c>
      <c r="B449" s="29"/>
      <c r="C449" s="29"/>
      <c r="D449" s="29"/>
      <c r="F449" s="24"/>
      <c r="G449" s="24"/>
      <c r="H449" s="24"/>
      <c r="I449" s="24"/>
      <c r="J449" s="24"/>
      <c r="K449" s="24"/>
      <c r="L449" s="24"/>
      <c r="M449" s="25"/>
    </row>
    <row r="450" spans="1:13" x14ac:dyDescent="0.35">
      <c r="A450" s="4"/>
      <c r="M450" s="5"/>
    </row>
    <row r="451" spans="1:13" x14ac:dyDescent="0.35">
      <c r="A451" s="4" t="s">
        <v>3</v>
      </c>
      <c r="E451" s="57"/>
      <c r="F451" s="57"/>
      <c r="G451" s="57"/>
      <c r="H451" s="57"/>
      <c r="I451" s="57"/>
      <c r="J451" s="57"/>
      <c r="K451" s="57"/>
      <c r="L451" s="57"/>
      <c r="M451" s="58"/>
    </row>
    <row r="452" spans="1:13" x14ac:dyDescent="0.35">
      <c r="A452" s="4"/>
      <c r="E452" s="57"/>
      <c r="F452" s="57"/>
      <c r="G452" s="57"/>
      <c r="H452" s="57"/>
      <c r="I452" s="57"/>
      <c r="J452" s="57"/>
      <c r="K452" s="57"/>
      <c r="L452" s="57"/>
      <c r="M452" s="58"/>
    </row>
    <row r="453" spans="1:13" x14ac:dyDescent="0.35">
      <c r="A453" s="4"/>
      <c r="E453" s="57"/>
      <c r="F453" s="57"/>
      <c r="G453" s="57"/>
      <c r="H453" s="57"/>
      <c r="I453" s="57"/>
      <c r="J453" s="57"/>
      <c r="K453" s="57"/>
      <c r="L453" s="57"/>
      <c r="M453" s="58"/>
    </row>
    <row r="454" spans="1:13" ht="15" thickBot="1" x14ac:dyDescent="0.4">
      <c r="A454" s="9"/>
      <c r="B454" s="34"/>
      <c r="C454" s="34"/>
      <c r="D454" s="34"/>
      <c r="E454" s="59"/>
      <c r="F454" s="59"/>
      <c r="G454" s="59"/>
      <c r="H454" s="59"/>
      <c r="I454" s="59"/>
      <c r="J454" s="59"/>
      <c r="K454" s="59"/>
      <c r="L454" s="59"/>
      <c r="M454" s="60"/>
    </row>
    <row r="456" spans="1:13" ht="15" thickBot="1" x14ac:dyDescent="0.4"/>
    <row r="457" spans="1:13" ht="21" x14ac:dyDescent="0.5">
      <c r="A457" s="23" t="s">
        <v>88</v>
      </c>
      <c r="B457" s="33"/>
      <c r="C457" s="33"/>
      <c r="D457" s="33"/>
      <c r="E457" s="2"/>
      <c r="F457" s="2" t="s">
        <v>4</v>
      </c>
      <c r="G457" s="2"/>
      <c r="H457" s="2" t="s">
        <v>67</v>
      </c>
      <c r="I457" s="2" t="s">
        <v>5</v>
      </c>
      <c r="J457" s="2" t="s">
        <v>6</v>
      </c>
      <c r="K457" s="2"/>
      <c r="L457" s="2" t="s">
        <v>7</v>
      </c>
      <c r="M457" s="3" t="s">
        <v>8</v>
      </c>
    </row>
    <row r="458" spans="1:13" x14ac:dyDescent="0.35">
      <c r="A458" s="4">
        <v>13</v>
      </c>
      <c r="M458" s="5"/>
    </row>
    <row r="459" spans="1:13" x14ac:dyDescent="0.35">
      <c r="A459" s="6" t="s">
        <v>0</v>
      </c>
      <c r="B459" s="27"/>
      <c r="C459" s="27"/>
      <c r="D459" s="27"/>
      <c r="F459" s="24"/>
      <c r="G459" s="24"/>
      <c r="H459" s="24"/>
      <c r="I459" s="24"/>
      <c r="J459" s="24"/>
      <c r="K459" s="24"/>
      <c r="L459" s="24"/>
      <c r="M459" s="25"/>
    </row>
    <row r="460" spans="1:13" x14ac:dyDescent="0.35">
      <c r="A460" s="7" t="s">
        <v>1</v>
      </c>
      <c r="B460" s="28"/>
      <c r="C460" s="28"/>
      <c r="D460" s="28"/>
      <c r="F460" s="24"/>
      <c r="G460" s="24"/>
      <c r="H460" s="24"/>
      <c r="I460" s="24"/>
      <c r="J460" s="24"/>
      <c r="K460" s="24"/>
      <c r="L460" s="24"/>
      <c r="M460" s="25"/>
    </row>
    <row r="461" spans="1:13" x14ac:dyDescent="0.35">
      <c r="A461" s="8" t="s">
        <v>2</v>
      </c>
      <c r="B461" s="29"/>
      <c r="C461" s="29"/>
      <c r="D461" s="29"/>
      <c r="F461" s="24"/>
      <c r="G461" s="24"/>
      <c r="H461" s="24"/>
      <c r="I461" s="24"/>
      <c r="J461" s="24"/>
      <c r="K461" s="24"/>
      <c r="L461" s="24"/>
      <c r="M461" s="25"/>
    </row>
    <row r="462" spans="1:13" x14ac:dyDescent="0.35">
      <c r="A462" s="4"/>
      <c r="M462" s="5"/>
    </row>
    <row r="463" spans="1:13" x14ac:dyDescent="0.35">
      <c r="A463" s="4" t="s">
        <v>3</v>
      </c>
      <c r="E463" s="57"/>
      <c r="F463" s="57"/>
      <c r="G463" s="57"/>
      <c r="H463" s="57"/>
      <c r="I463" s="57"/>
      <c r="J463" s="57"/>
      <c r="K463" s="57"/>
      <c r="L463" s="57"/>
      <c r="M463" s="58"/>
    </row>
    <row r="464" spans="1:13" x14ac:dyDescent="0.35">
      <c r="A464" s="4"/>
      <c r="E464" s="57"/>
      <c r="F464" s="57"/>
      <c r="G464" s="57"/>
      <c r="H464" s="57"/>
      <c r="I464" s="57"/>
      <c r="J464" s="57"/>
      <c r="K464" s="57"/>
      <c r="L464" s="57"/>
      <c r="M464" s="58"/>
    </row>
    <row r="465" spans="1:13" x14ac:dyDescent="0.35">
      <c r="A465" s="4"/>
      <c r="E465" s="57"/>
      <c r="F465" s="57"/>
      <c r="G465" s="57"/>
      <c r="H465" s="57"/>
      <c r="I465" s="57"/>
      <c r="J465" s="57"/>
      <c r="K465" s="57"/>
      <c r="L465" s="57"/>
      <c r="M465" s="58"/>
    </row>
    <row r="466" spans="1:13" ht="15" thickBot="1" x14ac:dyDescent="0.4">
      <c r="A466" s="9"/>
      <c r="B466" s="34"/>
      <c r="C466" s="34"/>
      <c r="D466" s="34"/>
      <c r="E466" s="59"/>
      <c r="F466" s="59"/>
      <c r="G466" s="59"/>
      <c r="H466" s="59"/>
      <c r="I466" s="59"/>
      <c r="J466" s="59"/>
      <c r="K466" s="59"/>
      <c r="L466" s="59"/>
      <c r="M466" s="60"/>
    </row>
    <row r="468" spans="1:13" ht="15" thickBot="1" x14ac:dyDescent="0.4"/>
    <row r="469" spans="1:13" ht="21" x14ac:dyDescent="0.5">
      <c r="A469" s="23" t="s">
        <v>89</v>
      </c>
      <c r="B469" s="33"/>
      <c r="C469" s="33"/>
      <c r="D469" s="33"/>
      <c r="E469" s="2"/>
      <c r="F469" s="2" t="s">
        <v>4</v>
      </c>
      <c r="G469" s="2"/>
      <c r="H469" s="2" t="s">
        <v>67</v>
      </c>
      <c r="I469" s="2" t="s">
        <v>5</v>
      </c>
      <c r="J469" s="2" t="s">
        <v>6</v>
      </c>
      <c r="K469" s="2"/>
      <c r="L469" s="2" t="s">
        <v>7</v>
      </c>
      <c r="M469" s="3" t="s">
        <v>8</v>
      </c>
    </row>
    <row r="470" spans="1:13" x14ac:dyDescent="0.35">
      <c r="A470" s="4">
        <v>13</v>
      </c>
      <c r="M470" s="5"/>
    </row>
    <row r="471" spans="1:13" x14ac:dyDescent="0.35">
      <c r="A471" s="6" t="s">
        <v>0</v>
      </c>
      <c r="B471" s="27"/>
      <c r="C471" s="27"/>
      <c r="D471" s="27"/>
      <c r="F471" s="24"/>
      <c r="G471" s="24"/>
      <c r="H471" s="24"/>
      <c r="I471" s="24"/>
      <c r="J471" s="24"/>
      <c r="K471" s="24"/>
      <c r="L471" s="24"/>
      <c r="M471" s="25"/>
    </row>
    <row r="472" spans="1:13" x14ac:dyDescent="0.35">
      <c r="A472" s="7" t="s">
        <v>1</v>
      </c>
      <c r="B472" s="28"/>
      <c r="C472" s="28"/>
      <c r="D472" s="28"/>
      <c r="F472" s="24"/>
      <c r="G472" s="24"/>
      <c r="H472" s="24"/>
      <c r="I472" s="24"/>
      <c r="J472" s="24"/>
      <c r="K472" s="24"/>
      <c r="L472" s="24"/>
      <c r="M472" s="25"/>
    </row>
    <row r="473" spans="1:13" x14ac:dyDescent="0.35">
      <c r="A473" s="8" t="s">
        <v>2</v>
      </c>
      <c r="B473" s="29"/>
      <c r="C473" s="29"/>
      <c r="D473" s="29"/>
      <c r="F473" s="24"/>
      <c r="G473" s="24"/>
      <c r="H473" s="24"/>
      <c r="I473" s="24"/>
      <c r="J473" s="24"/>
      <c r="K473" s="24"/>
      <c r="L473" s="24"/>
      <c r="M473" s="25"/>
    </row>
    <row r="474" spans="1:13" x14ac:dyDescent="0.35">
      <c r="A474" s="4"/>
      <c r="M474" s="5"/>
    </row>
    <row r="475" spans="1:13" x14ac:dyDescent="0.35">
      <c r="A475" s="4" t="s">
        <v>3</v>
      </c>
      <c r="E475" s="57"/>
      <c r="F475" s="57"/>
      <c r="G475" s="57"/>
      <c r="H475" s="57"/>
      <c r="I475" s="57"/>
      <c r="J475" s="57"/>
      <c r="K475" s="57"/>
      <c r="L475" s="57"/>
      <c r="M475" s="58"/>
    </row>
    <row r="476" spans="1:13" x14ac:dyDescent="0.35">
      <c r="A476" s="4"/>
      <c r="E476" s="57"/>
      <c r="F476" s="57"/>
      <c r="G476" s="57"/>
      <c r="H476" s="57"/>
      <c r="I476" s="57"/>
      <c r="J476" s="57"/>
      <c r="K476" s="57"/>
      <c r="L476" s="57"/>
      <c r="M476" s="58"/>
    </row>
    <row r="477" spans="1:13" x14ac:dyDescent="0.35">
      <c r="A477" s="4"/>
      <c r="E477" s="57"/>
      <c r="F477" s="57"/>
      <c r="G477" s="57"/>
      <c r="H477" s="57"/>
      <c r="I477" s="57"/>
      <c r="J477" s="57"/>
      <c r="K477" s="57"/>
      <c r="L477" s="57"/>
      <c r="M477" s="58"/>
    </row>
    <row r="478" spans="1:13" ht="15" thickBot="1" x14ac:dyDescent="0.4">
      <c r="A478" s="9"/>
      <c r="B478" s="34"/>
      <c r="C478" s="34"/>
      <c r="D478" s="34"/>
      <c r="E478" s="59"/>
      <c r="F478" s="59"/>
      <c r="G478" s="59"/>
      <c r="H478" s="59"/>
      <c r="I478" s="59"/>
      <c r="J478" s="59"/>
      <c r="K478" s="59"/>
      <c r="L478" s="59"/>
      <c r="M478" s="60"/>
    </row>
    <row r="480" spans="1:13" ht="15" thickBot="1" x14ac:dyDescent="0.4"/>
    <row r="481" spans="1:13" ht="21" x14ac:dyDescent="0.5">
      <c r="A481" s="23" t="s">
        <v>90</v>
      </c>
      <c r="B481" s="33"/>
      <c r="C481" s="33"/>
      <c r="D481" s="33"/>
      <c r="E481" s="2"/>
      <c r="F481" s="2" t="s">
        <v>4</v>
      </c>
      <c r="G481" s="2"/>
      <c r="H481" s="2" t="s">
        <v>67</v>
      </c>
      <c r="I481" s="2" t="s">
        <v>5</v>
      </c>
      <c r="J481" s="2" t="s">
        <v>6</v>
      </c>
      <c r="K481" s="2"/>
      <c r="L481" s="2" t="s">
        <v>7</v>
      </c>
      <c r="M481" s="3" t="s">
        <v>8</v>
      </c>
    </row>
    <row r="482" spans="1:13" x14ac:dyDescent="0.35">
      <c r="A482" s="4">
        <v>13</v>
      </c>
      <c r="M482" s="5"/>
    </row>
    <row r="483" spans="1:13" x14ac:dyDescent="0.35">
      <c r="A483" s="6" t="s">
        <v>0</v>
      </c>
      <c r="B483" s="27"/>
      <c r="C483" s="27">
        <v>0.06</v>
      </c>
      <c r="D483" s="27"/>
      <c r="F483" s="24"/>
      <c r="G483" s="24"/>
      <c r="H483" s="24"/>
      <c r="I483" s="24"/>
      <c r="J483" s="24"/>
      <c r="K483" s="24"/>
      <c r="L483" s="24"/>
      <c r="M483" s="25"/>
    </row>
    <row r="484" spans="1:13" x14ac:dyDescent="0.35">
      <c r="A484" s="7" t="s">
        <v>1</v>
      </c>
      <c r="B484" s="28"/>
      <c r="C484" s="28"/>
      <c r="D484" s="28"/>
      <c r="F484" s="24"/>
      <c r="G484" s="24"/>
      <c r="H484" s="24"/>
      <c r="I484" s="24"/>
      <c r="J484" s="24"/>
      <c r="K484" s="24"/>
      <c r="L484" s="24"/>
      <c r="M484" s="25"/>
    </row>
    <row r="485" spans="1:13" x14ac:dyDescent="0.35">
      <c r="A485" s="8" t="s">
        <v>2</v>
      </c>
      <c r="B485" s="29"/>
      <c r="C485" s="29"/>
      <c r="D485" s="29"/>
      <c r="F485" s="24"/>
      <c r="G485" s="24"/>
      <c r="H485" s="24"/>
      <c r="I485" s="24"/>
      <c r="J485" s="24"/>
      <c r="K485" s="24"/>
      <c r="L485" s="24"/>
      <c r="M485" s="25"/>
    </row>
    <row r="486" spans="1:13" x14ac:dyDescent="0.35">
      <c r="A486" s="4"/>
      <c r="M486" s="5"/>
    </row>
    <row r="487" spans="1:13" x14ac:dyDescent="0.35">
      <c r="A487" s="4" t="s">
        <v>3</v>
      </c>
      <c r="E487" s="57"/>
      <c r="F487" s="57"/>
      <c r="G487" s="57"/>
      <c r="H487" s="57"/>
      <c r="I487" s="57"/>
      <c r="J487" s="57"/>
      <c r="K487" s="57"/>
      <c r="L487" s="57"/>
      <c r="M487" s="58"/>
    </row>
    <row r="488" spans="1:13" x14ac:dyDescent="0.35">
      <c r="A488" s="4"/>
      <c r="E488" s="57"/>
      <c r="F488" s="57"/>
      <c r="G488" s="57"/>
      <c r="H488" s="57"/>
      <c r="I488" s="57"/>
      <c r="J488" s="57"/>
      <c r="K488" s="57"/>
      <c r="L488" s="57"/>
      <c r="M488" s="58"/>
    </row>
    <row r="489" spans="1:13" x14ac:dyDescent="0.35">
      <c r="A489" s="4"/>
      <c r="E489" s="57"/>
      <c r="F489" s="57"/>
      <c r="G489" s="57"/>
      <c r="H489" s="57"/>
      <c r="I489" s="57"/>
      <c r="J489" s="57"/>
      <c r="K489" s="57"/>
      <c r="L489" s="57"/>
      <c r="M489" s="58"/>
    </row>
    <row r="490" spans="1:13" ht="15" thickBot="1" x14ac:dyDescent="0.4">
      <c r="A490" s="9"/>
      <c r="B490" s="34"/>
      <c r="C490" s="34"/>
      <c r="D490" s="34"/>
      <c r="E490" s="59"/>
      <c r="F490" s="59"/>
      <c r="G490" s="59"/>
      <c r="H490" s="59"/>
      <c r="I490" s="59"/>
      <c r="J490" s="59"/>
      <c r="K490" s="59"/>
      <c r="L490" s="59"/>
      <c r="M490" s="60"/>
    </row>
    <row r="492" spans="1:13" ht="15" thickBot="1" x14ac:dyDescent="0.4"/>
    <row r="493" spans="1:13" ht="21" x14ac:dyDescent="0.5">
      <c r="A493" s="23" t="s">
        <v>91</v>
      </c>
      <c r="B493" s="33"/>
      <c r="C493" s="33"/>
      <c r="D493" s="33"/>
      <c r="E493" s="2"/>
      <c r="F493" s="2" t="s">
        <v>4</v>
      </c>
      <c r="G493" s="2"/>
      <c r="H493" s="2" t="s">
        <v>67</v>
      </c>
      <c r="I493" s="2" t="s">
        <v>5</v>
      </c>
      <c r="J493" s="2" t="s">
        <v>6</v>
      </c>
      <c r="K493" s="2"/>
      <c r="L493" s="2" t="s">
        <v>7</v>
      </c>
      <c r="M493" s="3" t="s">
        <v>8</v>
      </c>
    </row>
    <row r="494" spans="1:13" x14ac:dyDescent="0.35">
      <c r="A494" s="4">
        <v>13</v>
      </c>
      <c r="M494" s="5"/>
    </row>
    <row r="495" spans="1:13" x14ac:dyDescent="0.35">
      <c r="A495" s="6" t="s">
        <v>0</v>
      </c>
      <c r="B495" s="27"/>
      <c r="C495" s="27"/>
      <c r="D495" s="27"/>
      <c r="F495" s="24"/>
      <c r="G495" s="24"/>
      <c r="H495" s="24"/>
      <c r="I495" s="24"/>
      <c r="J495" s="24"/>
      <c r="K495" s="24"/>
      <c r="L495" s="24"/>
      <c r="M495" s="25"/>
    </row>
    <row r="496" spans="1:13" x14ac:dyDescent="0.35">
      <c r="A496" s="7" t="s">
        <v>1</v>
      </c>
      <c r="B496" s="28"/>
      <c r="C496" s="28"/>
      <c r="D496" s="28"/>
      <c r="F496" s="24"/>
      <c r="G496" s="24"/>
      <c r="H496" s="24"/>
      <c r="I496" s="24"/>
      <c r="J496" s="24"/>
      <c r="K496" s="24"/>
      <c r="L496" s="24"/>
      <c r="M496" s="25"/>
    </row>
    <row r="497" spans="1:13" x14ac:dyDescent="0.35">
      <c r="A497" s="8" t="s">
        <v>2</v>
      </c>
      <c r="B497" s="29"/>
      <c r="C497" s="29"/>
      <c r="D497" s="29"/>
      <c r="F497" s="24"/>
      <c r="G497" s="24"/>
      <c r="H497" s="24"/>
      <c r="I497" s="24"/>
      <c r="J497" s="24"/>
      <c r="K497" s="24"/>
      <c r="L497" s="24"/>
      <c r="M497" s="25"/>
    </row>
    <row r="498" spans="1:13" x14ac:dyDescent="0.35">
      <c r="A498" s="4"/>
      <c r="M498" s="5"/>
    </row>
    <row r="499" spans="1:13" x14ac:dyDescent="0.35">
      <c r="A499" s="4" t="s">
        <v>3</v>
      </c>
      <c r="E499" s="57"/>
      <c r="F499" s="57"/>
      <c r="G499" s="57"/>
      <c r="H499" s="57"/>
      <c r="I499" s="57"/>
      <c r="J499" s="57"/>
      <c r="K499" s="57"/>
      <c r="L499" s="57"/>
      <c r="M499" s="58"/>
    </row>
    <row r="500" spans="1:13" x14ac:dyDescent="0.35">
      <c r="A500" s="4"/>
      <c r="E500" s="57"/>
      <c r="F500" s="57"/>
      <c r="G500" s="57"/>
      <c r="H500" s="57"/>
      <c r="I500" s="57"/>
      <c r="J500" s="57"/>
      <c r="K500" s="57"/>
      <c r="L500" s="57"/>
      <c r="M500" s="58"/>
    </row>
    <row r="501" spans="1:13" x14ac:dyDescent="0.35">
      <c r="A501" s="4"/>
      <c r="E501" s="57"/>
      <c r="F501" s="57"/>
      <c r="G501" s="57"/>
      <c r="H501" s="57"/>
      <c r="I501" s="57"/>
      <c r="J501" s="57"/>
      <c r="K501" s="57"/>
      <c r="L501" s="57"/>
      <c r="M501" s="58"/>
    </row>
    <row r="502" spans="1:13" ht="15" thickBot="1" x14ac:dyDescent="0.4">
      <c r="A502" s="9"/>
      <c r="B502" s="34"/>
      <c r="C502" s="34"/>
      <c r="D502" s="34"/>
      <c r="E502" s="59"/>
      <c r="F502" s="59"/>
      <c r="G502" s="59"/>
      <c r="H502" s="59"/>
      <c r="I502" s="59"/>
      <c r="J502" s="59"/>
      <c r="K502" s="59"/>
      <c r="L502" s="59"/>
      <c r="M502" s="60"/>
    </row>
    <row r="504" spans="1:13" ht="15" thickBot="1" x14ac:dyDescent="0.4"/>
    <row r="505" spans="1:13" ht="21" x14ac:dyDescent="0.5">
      <c r="A505" s="23" t="s">
        <v>92</v>
      </c>
      <c r="B505" s="33"/>
      <c r="C505" s="33"/>
      <c r="D505" s="33"/>
      <c r="E505" s="2"/>
      <c r="F505" s="2" t="s">
        <v>4</v>
      </c>
      <c r="G505" s="2"/>
      <c r="H505" s="2" t="s">
        <v>67</v>
      </c>
      <c r="I505" s="2" t="s">
        <v>5</v>
      </c>
      <c r="J505" s="2" t="s">
        <v>6</v>
      </c>
      <c r="K505" s="2"/>
      <c r="L505" s="2" t="s">
        <v>7</v>
      </c>
      <c r="M505" s="3" t="s">
        <v>8</v>
      </c>
    </row>
    <row r="506" spans="1:13" x14ac:dyDescent="0.35">
      <c r="A506" s="4">
        <v>13</v>
      </c>
      <c r="M506" s="5"/>
    </row>
    <row r="507" spans="1:13" x14ac:dyDescent="0.35">
      <c r="A507" s="6" t="s">
        <v>0</v>
      </c>
      <c r="B507" s="27"/>
      <c r="C507" s="27"/>
      <c r="D507" s="27"/>
      <c r="F507" s="24"/>
      <c r="G507" s="24"/>
      <c r="H507" s="24"/>
      <c r="I507" s="24"/>
      <c r="J507" s="24"/>
      <c r="K507" s="24"/>
      <c r="L507" s="24"/>
      <c r="M507" s="25"/>
    </row>
    <row r="508" spans="1:13" x14ac:dyDescent="0.35">
      <c r="A508" s="7" t="s">
        <v>1</v>
      </c>
      <c r="B508" s="28"/>
      <c r="C508" s="28"/>
      <c r="D508" s="28"/>
      <c r="F508" s="24"/>
      <c r="G508" s="24"/>
      <c r="H508" s="24"/>
      <c r="I508" s="24"/>
      <c r="J508" s="24"/>
      <c r="K508" s="24"/>
      <c r="L508" s="24"/>
      <c r="M508" s="25"/>
    </row>
    <row r="509" spans="1:13" x14ac:dyDescent="0.35">
      <c r="A509" s="8" t="s">
        <v>2</v>
      </c>
      <c r="B509" s="29"/>
      <c r="C509" s="29"/>
      <c r="D509" s="29"/>
      <c r="F509" s="24"/>
      <c r="G509" s="24"/>
      <c r="H509" s="24"/>
      <c r="I509" s="24"/>
      <c r="J509" s="24"/>
      <c r="K509" s="24"/>
      <c r="L509" s="24"/>
      <c r="M509" s="25"/>
    </row>
    <row r="510" spans="1:13" x14ac:dyDescent="0.35">
      <c r="A510" s="4"/>
      <c r="M510" s="5"/>
    </row>
    <row r="511" spans="1:13" x14ac:dyDescent="0.35">
      <c r="A511" s="4" t="s">
        <v>3</v>
      </c>
      <c r="E511" s="57"/>
      <c r="F511" s="57"/>
      <c r="G511" s="57"/>
      <c r="H511" s="57"/>
      <c r="I511" s="57"/>
      <c r="J511" s="57"/>
      <c r="K511" s="57"/>
      <c r="L511" s="57"/>
      <c r="M511" s="58"/>
    </row>
    <row r="512" spans="1:13" x14ac:dyDescent="0.35">
      <c r="A512" s="4"/>
      <c r="E512" s="57"/>
      <c r="F512" s="57"/>
      <c r="G512" s="57"/>
      <c r="H512" s="57"/>
      <c r="I512" s="57"/>
      <c r="J512" s="57"/>
      <c r="K512" s="57"/>
      <c r="L512" s="57"/>
      <c r="M512" s="58"/>
    </row>
    <row r="513" spans="1:13" x14ac:dyDescent="0.35">
      <c r="A513" s="4"/>
      <c r="E513" s="57"/>
      <c r="F513" s="57"/>
      <c r="G513" s="57"/>
      <c r="H513" s="57"/>
      <c r="I513" s="57"/>
      <c r="J513" s="57"/>
      <c r="K513" s="57"/>
      <c r="L513" s="57"/>
      <c r="M513" s="58"/>
    </row>
    <row r="514" spans="1:13" ht="15" thickBot="1" x14ac:dyDescent="0.4">
      <c r="A514" s="9"/>
      <c r="B514" s="34"/>
      <c r="C514" s="34"/>
      <c r="D514" s="34"/>
      <c r="E514" s="59"/>
      <c r="F514" s="59"/>
      <c r="G514" s="59"/>
      <c r="H514" s="59"/>
      <c r="I514" s="59"/>
      <c r="J514" s="59"/>
      <c r="K514" s="59"/>
      <c r="L514" s="59"/>
      <c r="M514" s="60"/>
    </row>
    <row r="516" spans="1:13" ht="15" thickBot="1" x14ac:dyDescent="0.4"/>
    <row r="517" spans="1:13" ht="21" x14ac:dyDescent="0.5">
      <c r="A517" s="23" t="s">
        <v>93</v>
      </c>
      <c r="B517" s="33"/>
      <c r="C517" s="33"/>
      <c r="D517" s="33"/>
      <c r="E517" s="2"/>
      <c r="F517" s="2" t="s">
        <v>4</v>
      </c>
      <c r="G517" s="2"/>
      <c r="H517" s="2" t="s">
        <v>67</v>
      </c>
      <c r="I517" s="2" t="s">
        <v>5</v>
      </c>
      <c r="J517" s="2" t="s">
        <v>6</v>
      </c>
      <c r="K517" s="2"/>
      <c r="L517" s="2" t="s">
        <v>7</v>
      </c>
      <c r="M517" s="3" t="s">
        <v>8</v>
      </c>
    </row>
    <row r="518" spans="1:13" x14ac:dyDescent="0.35">
      <c r="A518" s="4">
        <v>13</v>
      </c>
      <c r="M518" s="5"/>
    </row>
    <row r="519" spans="1:13" x14ac:dyDescent="0.35">
      <c r="A519" s="6" t="s">
        <v>0</v>
      </c>
      <c r="B519" s="27"/>
      <c r="C519" s="27"/>
      <c r="D519" s="27"/>
      <c r="F519" s="24"/>
      <c r="G519" s="24"/>
      <c r="H519" s="24"/>
      <c r="I519" s="24"/>
      <c r="J519" s="24"/>
      <c r="K519" s="24"/>
      <c r="L519" s="24"/>
      <c r="M519" s="25"/>
    </row>
    <row r="520" spans="1:13" x14ac:dyDescent="0.35">
      <c r="A520" s="7" t="s">
        <v>1</v>
      </c>
      <c r="B520" s="28"/>
      <c r="C520" s="28"/>
      <c r="D520" s="28"/>
      <c r="F520" s="24"/>
      <c r="G520" s="24"/>
      <c r="H520" s="24"/>
      <c r="I520" s="24"/>
      <c r="J520" s="24"/>
      <c r="K520" s="24"/>
      <c r="L520" s="24"/>
      <c r="M520" s="25"/>
    </row>
    <row r="521" spans="1:13" x14ac:dyDescent="0.35">
      <c r="A521" s="8" t="s">
        <v>2</v>
      </c>
      <c r="B521" s="29"/>
      <c r="C521" s="29"/>
      <c r="D521" s="29"/>
      <c r="F521" s="24"/>
      <c r="G521" s="24"/>
      <c r="H521" s="24"/>
      <c r="I521" s="24"/>
      <c r="J521" s="24"/>
      <c r="K521" s="24"/>
      <c r="L521" s="24"/>
      <c r="M521" s="25"/>
    </row>
    <row r="522" spans="1:13" x14ac:dyDescent="0.35">
      <c r="A522" s="4"/>
      <c r="M522" s="5"/>
    </row>
    <row r="523" spans="1:13" x14ac:dyDescent="0.35">
      <c r="A523" s="4" t="s">
        <v>3</v>
      </c>
      <c r="E523" s="57"/>
      <c r="F523" s="57"/>
      <c r="G523" s="57"/>
      <c r="H523" s="57"/>
      <c r="I523" s="57"/>
      <c r="J523" s="57"/>
      <c r="K523" s="57"/>
      <c r="L523" s="57"/>
      <c r="M523" s="58"/>
    </row>
    <row r="524" spans="1:13" x14ac:dyDescent="0.35">
      <c r="A524" s="4"/>
      <c r="E524" s="57"/>
      <c r="F524" s="57"/>
      <c r="G524" s="57"/>
      <c r="H524" s="57"/>
      <c r="I524" s="57"/>
      <c r="J524" s="57"/>
      <c r="K524" s="57"/>
      <c r="L524" s="57"/>
      <c r="M524" s="58"/>
    </row>
    <row r="525" spans="1:13" x14ac:dyDescent="0.35">
      <c r="A525" s="4"/>
      <c r="E525" s="57"/>
      <c r="F525" s="57"/>
      <c r="G525" s="57"/>
      <c r="H525" s="57"/>
      <c r="I525" s="57"/>
      <c r="J525" s="57"/>
      <c r="K525" s="57"/>
      <c r="L525" s="57"/>
      <c r="M525" s="58"/>
    </row>
    <row r="526" spans="1:13" ht="15" thickBot="1" x14ac:dyDescent="0.4">
      <c r="A526" s="9"/>
      <c r="B526" s="34"/>
      <c r="C526" s="34"/>
      <c r="D526" s="34"/>
      <c r="E526" s="59"/>
      <c r="F526" s="59"/>
      <c r="G526" s="59"/>
      <c r="H526" s="59"/>
      <c r="I526" s="59"/>
      <c r="J526" s="59"/>
      <c r="K526" s="59"/>
      <c r="L526" s="59"/>
      <c r="M526" s="60"/>
    </row>
    <row r="528" spans="1:13" ht="15" thickBot="1" x14ac:dyDescent="0.4"/>
    <row r="529" spans="1:13" ht="21" x14ac:dyDescent="0.5">
      <c r="A529" s="23" t="s">
        <v>94</v>
      </c>
      <c r="B529" s="33"/>
      <c r="C529" s="33"/>
      <c r="D529" s="33"/>
      <c r="E529" s="2"/>
      <c r="F529" s="2" t="s">
        <v>4</v>
      </c>
      <c r="G529" s="2"/>
      <c r="H529" s="2" t="s">
        <v>67</v>
      </c>
      <c r="I529" s="2" t="s">
        <v>5</v>
      </c>
      <c r="J529" s="2" t="s">
        <v>6</v>
      </c>
      <c r="K529" s="2"/>
      <c r="L529" s="2" t="s">
        <v>7</v>
      </c>
      <c r="M529" s="3" t="s">
        <v>8</v>
      </c>
    </row>
    <row r="530" spans="1:13" x14ac:dyDescent="0.35">
      <c r="A530" s="4">
        <v>13</v>
      </c>
      <c r="M530" s="5"/>
    </row>
    <row r="531" spans="1:13" x14ac:dyDescent="0.35">
      <c r="A531" s="6" t="s">
        <v>0</v>
      </c>
      <c r="B531" s="27"/>
      <c r="C531" s="27"/>
      <c r="D531" s="27"/>
      <c r="F531" s="24"/>
      <c r="G531" s="24"/>
      <c r="H531" s="24"/>
      <c r="I531" s="24"/>
      <c r="J531" s="24"/>
      <c r="K531" s="24"/>
      <c r="L531" s="24"/>
      <c r="M531" s="25"/>
    </row>
    <row r="532" spans="1:13" x14ac:dyDescent="0.35">
      <c r="A532" s="7" t="s">
        <v>1</v>
      </c>
      <c r="B532" s="28"/>
      <c r="C532" s="28"/>
      <c r="D532" s="28"/>
      <c r="F532" s="24"/>
      <c r="G532" s="24"/>
      <c r="H532" s="24"/>
      <c r="I532" s="24"/>
      <c r="J532" s="24"/>
      <c r="K532" s="24"/>
      <c r="L532" s="24"/>
      <c r="M532" s="25"/>
    </row>
    <row r="533" spans="1:13" x14ac:dyDescent="0.35">
      <c r="A533" s="8" t="s">
        <v>2</v>
      </c>
      <c r="B533" s="29"/>
      <c r="C533" s="29"/>
      <c r="D533" s="29"/>
      <c r="F533" s="24"/>
      <c r="G533" s="24"/>
      <c r="H533" s="24"/>
      <c r="I533" s="24"/>
      <c r="J533" s="24"/>
      <c r="K533" s="24"/>
      <c r="L533" s="24"/>
      <c r="M533" s="25"/>
    </row>
    <row r="534" spans="1:13" x14ac:dyDescent="0.35">
      <c r="A534" s="4"/>
      <c r="M534" s="5"/>
    </row>
    <row r="535" spans="1:13" x14ac:dyDescent="0.35">
      <c r="A535" s="4" t="s">
        <v>3</v>
      </c>
      <c r="E535" s="57"/>
      <c r="F535" s="57"/>
      <c r="G535" s="57"/>
      <c r="H535" s="57"/>
      <c r="I535" s="57"/>
      <c r="J535" s="57"/>
      <c r="K535" s="57"/>
      <c r="L535" s="57"/>
      <c r="M535" s="58"/>
    </row>
    <row r="536" spans="1:13" x14ac:dyDescent="0.35">
      <c r="A536" s="4"/>
      <c r="E536" s="57"/>
      <c r="F536" s="57"/>
      <c r="G536" s="57"/>
      <c r="H536" s="57"/>
      <c r="I536" s="57"/>
      <c r="J536" s="57"/>
      <c r="K536" s="57"/>
      <c r="L536" s="57"/>
      <c r="M536" s="58"/>
    </row>
    <row r="537" spans="1:13" x14ac:dyDescent="0.35">
      <c r="A537" s="4"/>
      <c r="E537" s="57"/>
      <c r="F537" s="57"/>
      <c r="G537" s="57"/>
      <c r="H537" s="57"/>
      <c r="I537" s="57"/>
      <c r="J537" s="57"/>
      <c r="K537" s="57"/>
      <c r="L537" s="57"/>
      <c r="M537" s="58"/>
    </row>
    <row r="538" spans="1:13" ht="15" thickBot="1" x14ac:dyDescent="0.4">
      <c r="A538" s="9"/>
      <c r="B538" s="34"/>
      <c r="C538" s="34"/>
      <c r="D538" s="34"/>
      <c r="E538" s="59"/>
      <c r="F538" s="59"/>
      <c r="G538" s="59"/>
      <c r="H538" s="59"/>
      <c r="I538" s="59"/>
      <c r="J538" s="59"/>
      <c r="K538" s="59"/>
      <c r="L538" s="59"/>
      <c r="M538" s="60"/>
    </row>
    <row r="540" spans="1:13" ht="15" thickBot="1" x14ac:dyDescent="0.4"/>
    <row r="541" spans="1:13" ht="21" x14ac:dyDescent="0.5">
      <c r="A541" s="23" t="s">
        <v>95</v>
      </c>
      <c r="B541" s="33"/>
      <c r="C541" s="33"/>
      <c r="D541" s="33"/>
      <c r="E541" s="2"/>
      <c r="F541" s="2" t="s">
        <v>4</v>
      </c>
      <c r="G541" s="2"/>
      <c r="H541" s="2" t="s">
        <v>67</v>
      </c>
      <c r="I541" s="2" t="s">
        <v>5</v>
      </c>
      <c r="J541" s="2" t="s">
        <v>6</v>
      </c>
      <c r="K541" s="2"/>
      <c r="L541" s="2" t="s">
        <v>7</v>
      </c>
      <c r="M541" s="3" t="s">
        <v>8</v>
      </c>
    </row>
    <row r="542" spans="1:13" x14ac:dyDescent="0.35">
      <c r="A542" s="4">
        <v>13</v>
      </c>
      <c r="M542" s="5"/>
    </row>
    <row r="543" spans="1:13" x14ac:dyDescent="0.35">
      <c r="A543" s="6" t="s">
        <v>0</v>
      </c>
      <c r="B543" s="27"/>
      <c r="C543" s="27"/>
      <c r="D543" s="27"/>
      <c r="F543" s="24"/>
      <c r="G543" s="24"/>
      <c r="H543" s="24"/>
      <c r="I543" s="24"/>
      <c r="J543" s="24"/>
      <c r="K543" s="24"/>
      <c r="L543" s="24"/>
      <c r="M543" s="25"/>
    </row>
    <row r="544" spans="1:13" x14ac:dyDescent="0.35">
      <c r="A544" s="7" t="s">
        <v>1</v>
      </c>
      <c r="B544" s="28"/>
      <c r="C544" s="28"/>
      <c r="D544" s="28"/>
      <c r="F544" s="24"/>
      <c r="G544" s="24"/>
      <c r="H544" s="24"/>
      <c r="I544" s="24"/>
      <c r="J544" s="24"/>
      <c r="K544" s="24"/>
      <c r="L544" s="24"/>
      <c r="M544" s="25"/>
    </row>
    <row r="545" spans="1:13" x14ac:dyDescent="0.35">
      <c r="A545" s="8" t="s">
        <v>2</v>
      </c>
      <c r="B545" s="29"/>
      <c r="C545" s="29"/>
      <c r="D545" s="29"/>
      <c r="F545" s="24"/>
      <c r="G545" s="24"/>
      <c r="H545" s="24"/>
      <c r="I545" s="24"/>
      <c r="J545" s="24"/>
      <c r="K545" s="24"/>
      <c r="L545" s="24"/>
      <c r="M545" s="25"/>
    </row>
    <row r="546" spans="1:13" x14ac:dyDescent="0.35">
      <c r="A546" s="4"/>
      <c r="M546" s="5"/>
    </row>
    <row r="547" spans="1:13" x14ac:dyDescent="0.35">
      <c r="A547" s="4" t="s">
        <v>3</v>
      </c>
      <c r="E547" s="57"/>
      <c r="F547" s="57"/>
      <c r="G547" s="57"/>
      <c r="H547" s="57"/>
      <c r="I547" s="57"/>
      <c r="J547" s="57"/>
      <c r="K547" s="57"/>
      <c r="L547" s="57"/>
      <c r="M547" s="58"/>
    </row>
    <row r="548" spans="1:13" x14ac:dyDescent="0.35">
      <c r="A548" s="4"/>
      <c r="E548" s="57"/>
      <c r="F548" s="57"/>
      <c r="G548" s="57"/>
      <c r="H548" s="57"/>
      <c r="I548" s="57"/>
      <c r="J548" s="57"/>
      <c r="K548" s="57"/>
      <c r="L548" s="57"/>
      <c r="M548" s="58"/>
    </row>
    <row r="549" spans="1:13" x14ac:dyDescent="0.35">
      <c r="A549" s="4"/>
      <c r="E549" s="57"/>
      <c r="F549" s="57"/>
      <c r="G549" s="57"/>
      <c r="H549" s="57"/>
      <c r="I549" s="57"/>
      <c r="J549" s="57"/>
      <c r="K549" s="57"/>
      <c r="L549" s="57"/>
      <c r="M549" s="58"/>
    </row>
    <row r="550" spans="1:13" ht="15" thickBot="1" x14ac:dyDescent="0.4">
      <c r="A550" s="9"/>
      <c r="B550" s="34"/>
      <c r="C550" s="34"/>
      <c r="D550" s="34"/>
      <c r="E550" s="59"/>
      <c r="F550" s="59"/>
      <c r="G550" s="59"/>
      <c r="H550" s="59"/>
      <c r="I550" s="59"/>
      <c r="J550" s="59"/>
      <c r="K550" s="59"/>
      <c r="L550" s="59"/>
      <c r="M550" s="60"/>
    </row>
    <row r="552" spans="1:13" ht="15" thickBot="1" x14ac:dyDescent="0.4"/>
    <row r="553" spans="1:13" ht="21" x14ac:dyDescent="0.5">
      <c r="A553" s="23" t="s">
        <v>96</v>
      </c>
      <c r="B553" s="33"/>
      <c r="C553" s="33"/>
      <c r="D553" s="33"/>
      <c r="E553" s="2"/>
      <c r="F553" s="2" t="s">
        <v>4</v>
      </c>
      <c r="G553" s="2"/>
      <c r="H553" s="2" t="s">
        <v>67</v>
      </c>
      <c r="I553" s="2" t="s">
        <v>5</v>
      </c>
      <c r="J553" s="2" t="s">
        <v>6</v>
      </c>
      <c r="K553" s="2"/>
      <c r="L553" s="2" t="s">
        <v>7</v>
      </c>
      <c r="M553" s="3" t="s">
        <v>8</v>
      </c>
    </row>
    <row r="554" spans="1:13" x14ac:dyDescent="0.35">
      <c r="A554" s="4">
        <v>13</v>
      </c>
      <c r="M554" s="5"/>
    </row>
    <row r="555" spans="1:13" x14ac:dyDescent="0.35">
      <c r="A555" s="6" t="s">
        <v>0</v>
      </c>
      <c r="B555" s="27"/>
      <c r="C555" s="27"/>
      <c r="D555" s="27"/>
      <c r="F555" s="24"/>
      <c r="G555" s="24"/>
      <c r="H555" s="24"/>
      <c r="I555" s="24"/>
      <c r="J555" s="24"/>
      <c r="K555" s="24"/>
      <c r="L555" s="24"/>
      <c r="M555" s="25"/>
    </row>
    <row r="556" spans="1:13" x14ac:dyDescent="0.35">
      <c r="A556" s="7" t="s">
        <v>1</v>
      </c>
      <c r="B556" s="28"/>
      <c r="C556" s="28"/>
      <c r="D556" s="28"/>
      <c r="F556" s="24"/>
      <c r="G556" s="24"/>
      <c r="H556" s="24"/>
      <c r="I556" s="24"/>
      <c r="J556" s="24"/>
      <c r="K556" s="24"/>
      <c r="L556" s="24"/>
      <c r="M556" s="25"/>
    </row>
    <row r="557" spans="1:13" x14ac:dyDescent="0.35">
      <c r="A557" s="8" t="s">
        <v>2</v>
      </c>
      <c r="B557" s="29"/>
      <c r="C557" s="29"/>
      <c r="D557" s="29"/>
      <c r="F557" s="24"/>
      <c r="G557" s="24"/>
      <c r="H557" s="24"/>
      <c r="I557" s="24"/>
      <c r="J557" s="24"/>
      <c r="K557" s="24"/>
      <c r="L557" s="24"/>
      <c r="M557" s="25"/>
    </row>
    <row r="558" spans="1:13" x14ac:dyDescent="0.35">
      <c r="A558" s="4"/>
      <c r="M558" s="5"/>
    </row>
    <row r="559" spans="1:13" x14ac:dyDescent="0.35">
      <c r="A559" s="4" t="s">
        <v>3</v>
      </c>
      <c r="E559" s="57"/>
      <c r="F559" s="57"/>
      <c r="G559" s="57"/>
      <c r="H559" s="57"/>
      <c r="I559" s="57"/>
      <c r="J559" s="57"/>
      <c r="K559" s="57"/>
      <c r="L559" s="57"/>
      <c r="M559" s="58"/>
    </row>
    <row r="560" spans="1:13" x14ac:dyDescent="0.35">
      <c r="A560" s="4"/>
      <c r="E560" s="57"/>
      <c r="F560" s="57"/>
      <c r="G560" s="57"/>
      <c r="H560" s="57"/>
      <c r="I560" s="57"/>
      <c r="J560" s="57"/>
      <c r="K560" s="57"/>
      <c r="L560" s="57"/>
      <c r="M560" s="58"/>
    </row>
    <row r="561" spans="1:13" x14ac:dyDescent="0.35">
      <c r="A561" s="4"/>
      <c r="E561" s="57"/>
      <c r="F561" s="57"/>
      <c r="G561" s="57"/>
      <c r="H561" s="57"/>
      <c r="I561" s="57"/>
      <c r="J561" s="57"/>
      <c r="K561" s="57"/>
      <c r="L561" s="57"/>
      <c r="M561" s="58"/>
    </row>
    <row r="562" spans="1:13" ht="15" thickBot="1" x14ac:dyDescent="0.4">
      <c r="A562" s="9"/>
      <c r="B562" s="34"/>
      <c r="C562" s="34"/>
      <c r="D562" s="34"/>
      <c r="E562" s="59"/>
      <c r="F562" s="59"/>
      <c r="G562" s="59"/>
      <c r="H562" s="59"/>
      <c r="I562" s="59"/>
      <c r="J562" s="59"/>
      <c r="K562" s="59"/>
      <c r="L562" s="59"/>
      <c r="M562" s="60"/>
    </row>
    <row r="564" spans="1:13" ht="15" thickBot="1" x14ac:dyDescent="0.4"/>
    <row r="565" spans="1:13" ht="21" x14ac:dyDescent="0.5">
      <c r="A565" s="23" t="s">
        <v>97</v>
      </c>
      <c r="B565" s="33"/>
      <c r="C565" s="33"/>
      <c r="D565" s="33"/>
      <c r="E565" s="2"/>
      <c r="F565" s="2" t="s">
        <v>4</v>
      </c>
      <c r="G565" s="2"/>
      <c r="H565" s="2" t="s">
        <v>67</v>
      </c>
      <c r="I565" s="2" t="s">
        <v>5</v>
      </c>
      <c r="J565" s="2" t="s">
        <v>6</v>
      </c>
      <c r="K565" s="2"/>
      <c r="L565" s="2" t="s">
        <v>7</v>
      </c>
      <c r="M565" s="3" t="s">
        <v>8</v>
      </c>
    </row>
    <row r="566" spans="1:13" x14ac:dyDescent="0.35">
      <c r="A566" s="4">
        <v>13</v>
      </c>
      <c r="M566" s="5"/>
    </row>
    <row r="567" spans="1:13" x14ac:dyDescent="0.35">
      <c r="A567" s="6" t="s">
        <v>0</v>
      </c>
      <c r="B567" s="27"/>
      <c r="C567" s="27"/>
      <c r="D567" s="27"/>
      <c r="F567" s="24"/>
      <c r="G567" s="24"/>
      <c r="H567" s="24"/>
      <c r="I567" s="24"/>
      <c r="J567" s="24"/>
      <c r="K567" s="24"/>
      <c r="L567" s="24"/>
      <c r="M567" s="25"/>
    </row>
    <row r="568" spans="1:13" x14ac:dyDescent="0.35">
      <c r="A568" s="7" t="s">
        <v>1</v>
      </c>
      <c r="B568" s="28"/>
      <c r="C568" s="28"/>
      <c r="D568" s="28"/>
      <c r="F568" s="24"/>
      <c r="G568" s="24"/>
      <c r="H568" s="24"/>
      <c r="I568" s="24"/>
      <c r="J568" s="24"/>
      <c r="K568" s="24"/>
      <c r="L568" s="24"/>
      <c r="M568" s="25"/>
    </row>
    <row r="569" spans="1:13" x14ac:dyDescent="0.35">
      <c r="A569" s="8" t="s">
        <v>2</v>
      </c>
      <c r="B569" s="29"/>
      <c r="C569" s="29"/>
      <c r="D569" s="29"/>
      <c r="F569" s="24"/>
      <c r="G569" s="24"/>
      <c r="H569" s="24"/>
      <c r="I569" s="24"/>
      <c r="J569" s="24"/>
      <c r="K569" s="24"/>
      <c r="L569" s="24"/>
      <c r="M569" s="25"/>
    </row>
    <row r="570" spans="1:13" x14ac:dyDescent="0.35">
      <c r="A570" s="4"/>
      <c r="M570" s="5"/>
    </row>
    <row r="571" spans="1:13" x14ac:dyDescent="0.35">
      <c r="A571" s="4" t="s">
        <v>3</v>
      </c>
      <c r="E571" s="57"/>
      <c r="F571" s="57"/>
      <c r="G571" s="57"/>
      <c r="H571" s="57"/>
      <c r="I571" s="57"/>
      <c r="J571" s="57"/>
      <c r="K571" s="57"/>
      <c r="L571" s="57"/>
      <c r="M571" s="58"/>
    </row>
    <row r="572" spans="1:13" x14ac:dyDescent="0.35">
      <c r="A572" s="4"/>
      <c r="E572" s="57"/>
      <c r="F572" s="57"/>
      <c r="G572" s="57"/>
      <c r="H572" s="57"/>
      <c r="I572" s="57"/>
      <c r="J572" s="57"/>
      <c r="K572" s="57"/>
      <c r="L572" s="57"/>
      <c r="M572" s="58"/>
    </row>
    <row r="573" spans="1:13" x14ac:dyDescent="0.35">
      <c r="A573" s="4"/>
      <c r="E573" s="57"/>
      <c r="F573" s="57"/>
      <c r="G573" s="57"/>
      <c r="H573" s="57"/>
      <c r="I573" s="57"/>
      <c r="J573" s="57"/>
      <c r="K573" s="57"/>
      <c r="L573" s="57"/>
      <c r="M573" s="58"/>
    </row>
    <row r="574" spans="1:13" ht="15" thickBot="1" x14ac:dyDescent="0.4">
      <c r="A574" s="9"/>
      <c r="B574" s="34"/>
      <c r="C574" s="34"/>
      <c r="D574" s="34"/>
      <c r="E574" s="59"/>
      <c r="F574" s="59"/>
      <c r="G574" s="59"/>
      <c r="H574" s="59"/>
      <c r="I574" s="59"/>
      <c r="J574" s="59"/>
      <c r="K574" s="59"/>
      <c r="L574" s="59"/>
      <c r="M574" s="60"/>
    </row>
    <row r="576" spans="1:13" ht="15" thickBot="1" x14ac:dyDescent="0.4"/>
    <row r="577" spans="1:14" ht="21" x14ac:dyDescent="0.5">
      <c r="A577" s="23" t="s">
        <v>98</v>
      </c>
      <c r="B577" s="33"/>
      <c r="C577" s="33"/>
      <c r="D577" s="33"/>
      <c r="E577" s="2"/>
      <c r="F577" s="2" t="s">
        <v>4</v>
      </c>
      <c r="G577" s="2"/>
      <c r="H577" s="2" t="s">
        <v>67</v>
      </c>
      <c r="I577" s="2" t="s">
        <v>5</v>
      </c>
      <c r="J577" s="2" t="s">
        <v>6</v>
      </c>
      <c r="K577" s="2"/>
      <c r="L577" s="2" t="s">
        <v>7</v>
      </c>
      <c r="M577" s="3" t="s">
        <v>8</v>
      </c>
    </row>
    <row r="578" spans="1:14" x14ac:dyDescent="0.35">
      <c r="A578" s="4">
        <v>13</v>
      </c>
      <c r="M578" s="5"/>
    </row>
    <row r="579" spans="1:14" x14ac:dyDescent="0.35">
      <c r="A579" s="6" t="s">
        <v>0</v>
      </c>
      <c r="B579" s="27"/>
      <c r="C579" s="27"/>
      <c r="D579" s="27"/>
      <c r="F579" s="24"/>
      <c r="G579" s="24"/>
      <c r="H579" s="24"/>
      <c r="I579" s="24"/>
      <c r="J579" s="24"/>
      <c r="K579" s="24"/>
      <c r="L579" s="24"/>
      <c r="M579" s="25"/>
    </row>
    <row r="580" spans="1:14" x14ac:dyDescent="0.35">
      <c r="A580" s="7" t="s">
        <v>1</v>
      </c>
      <c r="B580" s="28"/>
      <c r="C580" s="28"/>
      <c r="D580" s="28"/>
      <c r="F580" s="24"/>
      <c r="G580" s="24"/>
      <c r="H580" s="24"/>
      <c r="I580" s="24"/>
      <c r="J580" s="24"/>
      <c r="K580" s="24"/>
      <c r="L580" s="24"/>
      <c r="M580" s="25"/>
    </row>
    <row r="581" spans="1:14" x14ac:dyDescent="0.35">
      <c r="A581" s="8" t="s">
        <v>2</v>
      </c>
      <c r="B581" s="29"/>
      <c r="C581" s="29"/>
      <c r="D581" s="29"/>
      <c r="F581" s="24"/>
      <c r="G581" s="24"/>
      <c r="H581" s="24"/>
      <c r="I581" s="24"/>
      <c r="J581" s="24"/>
      <c r="K581" s="24"/>
      <c r="L581" s="24"/>
      <c r="M581" s="25"/>
    </row>
    <row r="582" spans="1:14" x14ac:dyDescent="0.35">
      <c r="A582" s="4"/>
      <c r="M582" s="5"/>
    </row>
    <row r="583" spans="1:14" x14ac:dyDescent="0.35">
      <c r="A583" s="4" t="s">
        <v>3</v>
      </c>
      <c r="E583" s="57" t="s">
        <v>99</v>
      </c>
      <c r="F583" s="57"/>
      <c r="G583" s="57"/>
      <c r="H583" s="57"/>
      <c r="I583" s="57"/>
      <c r="J583" s="57"/>
      <c r="K583" s="57"/>
      <c r="L583" s="57"/>
      <c r="M583" s="58"/>
    </row>
    <row r="584" spans="1:14" x14ac:dyDescent="0.35">
      <c r="A584" s="4"/>
      <c r="E584" s="57"/>
      <c r="F584" s="57"/>
      <c r="G584" s="57"/>
      <c r="H584" s="57"/>
      <c r="I584" s="57"/>
      <c r="J584" s="57"/>
      <c r="K584" s="57"/>
      <c r="L584" s="57"/>
      <c r="M584" s="58"/>
    </row>
    <row r="585" spans="1:14" x14ac:dyDescent="0.35">
      <c r="A585" s="4"/>
      <c r="E585" s="57"/>
      <c r="F585" s="57"/>
      <c r="G585" s="57"/>
      <c r="H585" s="57"/>
      <c r="I585" s="57"/>
      <c r="J585" s="57"/>
      <c r="K585" s="57"/>
      <c r="L585" s="57"/>
      <c r="M585" s="58"/>
    </row>
    <row r="586" spans="1:14" ht="15" thickBot="1" x14ac:dyDescent="0.4">
      <c r="A586" s="9"/>
      <c r="B586" s="34"/>
      <c r="C586" s="34"/>
      <c r="D586" s="34"/>
      <c r="E586" s="59"/>
      <c r="F586" s="59"/>
      <c r="G586" s="59"/>
      <c r="H586" s="59"/>
      <c r="I586" s="59"/>
      <c r="J586" s="59"/>
      <c r="K586" s="59"/>
      <c r="L586" s="59"/>
      <c r="M586" s="60"/>
      <c r="N586" t="s">
        <v>0</v>
      </c>
    </row>
    <row r="587" spans="1:14" x14ac:dyDescent="0.35">
      <c r="N587" t="s">
        <v>137</v>
      </c>
    </row>
    <row r="588" spans="1:14" ht="15" thickBot="1" x14ac:dyDescent="0.4"/>
    <row r="589" spans="1:14" ht="21" x14ac:dyDescent="0.5">
      <c r="A589" s="23" t="s">
        <v>100</v>
      </c>
      <c r="B589" s="33"/>
      <c r="C589" s="33"/>
      <c r="D589" s="33"/>
      <c r="E589" s="2"/>
      <c r="F589" s="2" t="s">
        <v>4</v>
      </c>
      <c r="G589" s="2"/>
      <c r="H589" s="2" t="s">
        <v>67</v>
      </c>
      <c r="I589" s="2" t="s">
        <v>5</v>
      </c>
      <c r="J589" s="2" t="s">
        <v>6</v>
      </c>
      <c r="K589" s="2"/>
      <c r="L589" s="2" t="s">
        <v>7</v>
      </c>
      <c r="M589" s="3" t="s">
        <v>8</v>
      </c>
    </row>
    <row r="590" spans="1:14" x14ac:dyDescent="0.35">
      <c r="A590" s="4">
        <v>13</v>
      </c>
      <c r="M590" s="5"/>
    </row>
    <row r="591" spans="1:14" x14ac:dyDescent="0.35">
      <c r="A591" s="6" t="s">
        <v>0</v>
      </c>
      <c r="B591" s="27"/>
      <c r="C591" s="27"/>
      <c r="D591" s="27"/>
      <c r="F591" s="24"/>
      <c r="G591" s="24"/>
      <c r="H591" s="24"/>
      <c r="I591" s="24"/>
      <c r="J591" s="24"/>
      <c r="K591" s="24"/>
      <c r="L591" s="24"/>
      <c r="M591" s="25"/>
    </row>
    <row r="592" spans="1:14" x14ac:dyDescent="0.35">
      <c r="A592" s="7" t="s">
        <v>1</v>
      </c>
      <c r="B592" s="28"/>
      <c r="C592" s="28"/>
      <c r="D592" s="28"/>
      <c r="F592" s="24"/>
      <c r="G592" s="24"/>
      <c r="H592" s="24"/>
      <c r="I592" s="24"/>
      <c r="J592" s="24"/>
      <c r="K592" s="24"/>
      <c r="L592" s="24"/>
      <c r="M592" s="25"/>
    </row>
    <row r="593" spans="1:13" x14ac:dyDescent="0.35">
      <c r="A593" s="8" t="s">
        <v>2</v>
      </c>
      <c r="B593" s="29"/>
      <c r="C593" s="29"/>
      <c r="D593" s="29"/>
      <c r="F593" s="24"/>
      <c r="G593" s="24"/>
      <c r="H593" s="24"/>
      <c r="I593" s="24"/>
      <c r="J593" s="24"/>
      <c r="K593" s="24"/>
      <c r="L593" s="24"/>
      <c r="M593" s="25"/>
    </row>
    <row r="594" spans="1:13" x14ac:dyDescent="0.35">
      <c r="A594" s="4"/>
      <c r="M594" s="5"/>
    </row>
    <row r="595" spans="1:13" x14ac:dyDescent="0.35">
      <c r="A595" s="4" t="s">
        <v>3</v>
      </c>
      <c r="E595" s="57"/>
      <c r="F595" s="57"/>
      <c r="G595" s="57"/>
      <c r="H595" s="57"/>
      <c r="I595" s="57"/>
      <c r="J595" s="57"/>
      <c r="K595" s="57"/>
      <c r="L595" s="57"/>
      <c r="M595" s="58"/>
    </row>
    <row r="596" spans="1:13" x14ac:dyDescent="0.35">
      <c r="A596" s="4"/>
      <c r="E596" s="57"/>
      <c r="F596" s="57"/>
      <c r="G596" s="57"/>
      <c r="H596" s="57"/>
      <c r="I596" s="57"/>
      <c r="J596" s="57"/>
      <c r="K596" s="57"/>
      <c r="L596" s="57"/>
      <c r="M596" s="58"/>
    </row>
    <row r="597" spans="1:13" x14ac:dyDescent="0.35">
      <c r="A597" s="4"/>
      <c r="E597" s="57"/>
      <c r="F597" s="57"/>
      <c r="G597" s="57"/>
      <c r="H597" s="57"/>
      <c r="I597" s="57"/>
      <c r="J597" s="57"/>
      <c r="K597" s="57"/>
      <c r="L597" s="57"/>
      <c r="M597" s="58"/>
    </row>
    <row r="598" spans="1:13" ht="15" thickBot="1" x14ac:dyDescent="0.4">
      <c r="A598" s="9"/>
      <c r="B598" s="34"/>
      <c r="C598" s="34"/>
      <c r="D598" s="34"/>
      <c r="E598" s="59"/>
      <c r="F598" s="59"/>
      <c r="G598" s="59"/>
      <c r="H598" s="59"/>
      <c r="I598" s="59"/>
      <c r="J598" s="59"/>
      <c r="K598" s="59"/>
      <c r="L598" s="59"/>
      <c r="M598" s="60"/>
    </row>
    <row r="600" spans="1:13" ht="15" thickBot="1" x14ac:dyDescent="0.4"/>
    <row r="601" spans="1:13" ht="21" x14ac:dyDescent="0.5">
      <c r="A601" s="23" t="s">
        <v>134</v>
      </c>
      <c r="B601" s="33"/>
      <c r="C601" s="33"/>
      <c r="D601" s="33"/>
      <c r="E601" s="2"/>
      <c r="F601" s="2" t="s">
        <v>4</v>
      </c>
      <c r="G601" s="2"/>
      <c r="H601" s="2" t="s">
        <v>67</v>
      </c>
      <c r="I601" s="2" t="s">
        <v>5</v>
      </c>
      <c r="J601" s="2" t="s">
        <v>6</v>
      </c>
      <c r="K601" s="2"/>
      <c r="L601" s="2" t="s">
        <v>7</v>
      </c>
      <c r="M601" s="3" t="s">
        <v>8</v>
      </c>
    </row>
    <row r="602" spans="1:13" x14ac:dyDescent="0.35">
      <c r="A602" s="4">
        <v>13</v>
      </c>
      <c r="M602" s="5"/>
    </row>
    <row r="603" spans="1:13" x14ac:dyDescent="0.35">
      <c r="A603" s="6" t="s">
        <v>0</v>
      </c>
      <c r="B603" s="27"/>
      <c r="C603" s="27"/>
      <c r="D603" s="27"/>
      <c r="F603" s="24"/>
      <c r="G603" s="24"/>
      <c r="H603" s="24"/>
      <c r="I603" s="24"/>
      <c r="J603" s="24"/>
      <c r="K603" s="24"/>
      <c r="L603" s="24"/>
      <c r="M603" s="25"/>
    </row>
    <row r="604" spans="1:13" x14ac:dyDescent="0.35">
      <c r="A604" s="7" t="s">
        <v>1</v>
      </c>
      <c r="B604" s="28"/>
      <c r="C604" s="28"/>
      <c r="D604" s="28"/>
      <c r="F604" s="24"/>
      <c r="G604" s="24"/>
      <c r="H604" s="24"/>
      <c r="I604" s="24"/>
      <c r="J604" s="24"/>
      <c r="K604" s="24"/>
      <c r="L604" s="24"/>
      <c r="M604" s="25"/>
    </row>
    <row r="605" spans="1:13" x14ac:dyDescent="0.35">
      <c r="A605" s="8" t="s">
        <v>2</v>
      </c>
      <c r="B605" s="29"/>
      <c r="C605" s="29"/>
      <c r="D605" s="29"/>
      <c r="F605" s="24"/>
      <c r="G605" s="24"/>
      <c r="H605" s="24"/>
      <c r="I605" s="24"/>
      <c r="J605" s="24"/>
      <c r="K605" s="24"/>
      <c r="L605" s="24"/>
      <c r="M605" s="25"/>
    </row>
    <row r="606" spans="1:13" x14ac:dyDescent="0.35">
      <c r="A606" s="4"/>
      <c r="M606" s="5"/>
    </row>
    <row r="607" spans="1:13" x14ac:dyDescent="0.35">
      <c r="A607" s="4" t="s">
        <v>3</v>
      </c>
      <c r="E607" s="57" t="s">
        <v>135</v>
      </c>
      <c r="F607" s="57"/>
      <c r="G607" s="57"/>
      <c r="H607" s="57"/>
      <c r="I607" s="57"/>
      <c r="J607" s="57"/>
      <c r="K607" s="57"/>
      <c r="L607" s="57"/>
      <c r="M607" s="58"/>
    </row>
    <row r="608" spans="1:13" x14ac:dyDescent="0.35">
      <c r="A608" s="4"/>
      <c r="E608" s="57"/>
      <c r="F608" s="57"/>
      <c r="G608" s="57"/>
      <c r="H608" s="57"/>
      <c r="I608" s="57"/>
      <c r="J608" s="57"/>
      <c r="K608" s="57"/>
      <c r="L608" s="57"/>
      <c r="M608" s="58"/>
    </row>
    <row r="609" spans="1:13" x14ac:dyDescent="0.35">
      <c r="A609" s="4"/>
      <c r="E609" s="57"/>
      <c r="F609" s="57"/>
      <c r="G609" s="57"/>
      <c r="H609" s="57"/>
      <c r="I609" s="57"/>
      <c r="J609" s="57"/>
      <c r="K609" s="57"/>
      <c r="L609" s="57"/>
      <c r="M609" s="58"/>
    </row>
    <row r="610" spans="1:13" ht="15" thickBot="1" x14ac:dyDescent="0.4">
      <c r="A610" s="9"/>
      <c r="B610" s="34"/>
      <c r="C610" s="34"/>
      <c r="D610" s="34"/>
      <c r="E610" s="59"/>
      <c r="F610" s="59"/>
      <c r="G610" s="59"/>
      <c r="H610" s="59"/>
      <c r="I610" s="59"/>
      <c r="J610" s="59"/>
      <c r="K610" s="59"/>
      <c r="L610" s="59"/>
      <c r="M610" s="60"/>
    </row>
    <row r="612" spans="1:13" ht="15" thickBot="1" x14ac:dyDescent="0.4"/>
    <row r="613" spans="1:13" ht="21" x14ac:dyDescent="0.5">
      <c r="A613" s="23" t="s">
        <v>136</v>
      </c>
      <c r="B613" s="33"/>
      <c r="C613" s="33"/>
      <c r="D613" s="33"/>
      <c r="E613" s="2"/>
      <c r="F613" s="2" t="s">
        <v>4</v>
      </c>
      <c r="G613" s="2"/>
      <c r="H613" s="2" t="s">
        <v>67</v>
      </c>
      <c r="I613" s="2" t="s">
        <v>5</v>
      </c>
      <c r="J613" s="2" t="s">
        <v>6</v>
      </c>
      <c r="K613" s="2"/>
      <c r="L613" s="2" t="s">
        <v>7</v>
      </c>
      <c r="M613" s="3" t="s">
        <v>8</v>
      </c>
    </row>
    <row r="614" spans="1:13" x14ac:dyDescent="0.35">
      <c r="A614" s="4">
        <v>13</v>
      </c>
      <c r="M614" s="5"/>
    </row>
    <row r="615" spans="1:13" x14ac:dyDescent="0.35">
      <c r="A615" s="6" t="s">
        <v>0</v>
      </c>
      <c r="B615" s="27"/>
      <c r="C615" s="27">
        <v>0.1</v>
      </c>
      <c r="D615" s="27"/>
      <c r="F615" s="10" t="s">
        <v>66</v>
      </c>
      <c r="H615">
        <v>133</v>
      </c>
      <c r="I615">
        <v>63</v>
      </c>
      <c r="J615">
        <v>31</v>
      </c>
      <c r="L615">
        <v>5</v>
      </c>
      <c r="M615" s="5">
        <v>5</v>
      </c>
    </row>
    <row r="616" spans="1:13" x14ac:dyDescent="0.35">
      <c r="A616" s="7" t="s">
        <v>1</v>
      </c>
      <c r="B616" s="28"/>
      <c r="C616" s="28"/>
      <c r="D616" s="28"/>
      <c r="F616" s="30"/>
      <c r="G616" s="30"/>
      <c r="H616" s="30"/>
      <c r="I616" s="30"/>
      <c r="J616" s="30"/>
      <c r="K616" s="30"/>
      <c r="L616" s="30"/>
      <c r="M616" s="31"/>
    </row>
    <row r="617" spans="1:13" x14ac:dyDescent="0.35">
      <c r="A617" s="8" t="s">
        <v>2</v>
      </c>
      <c r="B617" s="29"/>
      <c r="C617" s="29"/>
      <c r="D617" s="29"/>
      <c r="F617" s="30"/>
      <c r="G617" s="30"/>
      <c r="H617" s="30"/>
      <c r="I617" s="30"/>
      <c r="J617" s="30"/>
      <c r="K617" s="30"/>
      <c r="L617" s="30"/>
      <c r="M617" s="31"/>
    </row>
    <row r="618" spans="1:13" x14ac:dyDescent="0.35">
      <c r="A618" s="4"/>
      <c r="M618" s="5"/>
    </row>
    <row r="619" spans="1:13" x14ac:dyDescent="0.35">
      <c r="A619" s="4" t="s">
        <v>3</v>
      </c>
      <c r="E619" s="57" t="s">
        <v>138</v>
      </c>
      <c r="F619" s="57"/>
      <c r="G619" s="57"/>
      <c r="H619" s="57"/>
      <c r="I619" s="57"/>
      <c r="J619" s="57"/>
      <c r="K619" s="57"/>
      <c r="L619" s="57"/>
      <c r="M619" s="58"/>
    </row>
    <row r="620" spans="1:13" x14ac:dyDescent="0.35">
      <c r="A620" s="4"/>
      <c r="E620" s="57"/>
      <c r="F620" s="57"/>
      <c r="G620" s="57"/>
      <c r="H620" s="57"/>
      <c r="I620" s="57"/>
      <c r="J620" s="57"/>
      <c r="K620" s="57"/>
      <c r="L620" s="57"/>
      <c r="M620" s="58"/>
    </row>
    <row r="621" spans="1:13" x14ac:dyDescent="0.35">
      <c r="A621" s="4"/>
      <c r="E621" s="57"/>
      <c r="F621" s="57"/>
      <c r="G621" s="57"/>
      <c r="H621" s="57"/>
      <c r="I621" s="57"/>
      <c r="J621" s="57"/>
      <c r="K621" s="57"/>
      <c r="L621" s="57"/>
      <c r="M621" s="58"/>
    </row>
    <row r="622" spans="1:13" ht="15" thickBot="1" x14ac:dyDescent="0.4">
      <c r="A622" s="9"/>
      <c r="B622" s="34"/>
      <c r="C622" s="34"/>
      <c r="D622" s="34"/>
      <c r="E622" s="59"/>
      <c r="F622" s="59"/>
      <c r="G622" s="59"/>
      <c r="H622" s="59"/>
      <c r="I622" s="59"/>
      <c r="J622" s="59"/>
      <c r="K622" s="59"/>
      <c r="L622" s="59"/>
      <c r="M622" s="60"/>
    </row>
    <row r="624" spans="1:13" ht="15" thickBot="1" x14ac:dyDescent="0.4"/>
    <row r="625" spans="1:13" ht="21" x14ac:dyDescent="0.5">
      <c r="A625" s="23" t="s">
        <v>139</v>
      </c>
      <c r="B625" s="33"/>
      <c r="C625" s="33"/>
      <c r="D625" s="33"/>
      <c r="E625" s="2"/>
      <c r="F625" s="2" t="s">
        <v>4</v>
      </c>
      <c r="G625" s="2"/>
      <c r="H625" s="2" t="s">
        <v>67</v>
      </c>
      <c r="I625" s="2" t="s">
        <v>5</v>
      </c>
      <c r="J625" s="2" t="s">
        <v>6</v>
      </c>
      <c r="K625" s="2"/>
      <c r="L625" s="2" t="s">
        <v>7</v>
      </c>
      <c r="M625" s="3" t="s">
        <v>8</v>
      </c>
    </row>
    <row r="626" spans="1:13" x14ac:dyDescent="0.35">
      <c r="A626" s="4">
        <v>13</v>
      </c>
      <c r="M626" s="5"/>
    </row>
    <row r="627" spans="1:13" x14ac:dyDescent="0.35">
      <c r="A627" s="6" t="s">
        <v>0</v>
      </c>
      <c r="B627" s="27"/>
      <c r="C627" s="27"/>
      <c r="D627" s="27"/>
      <c r="F627" s="24"/>
      <c r="G627" s="24"/>
      <c r="H627" s="24"/>
      <c r="I627" s="24"/>
      <c r="J627" s="24"/>
      <c r="K627" s="24"/>
      <c r="L627" s="24"/>
      <c r="M627" s="25"/>
    </row>
    <row r="628" spans="1:13" x14ac:dyDescent="0.35">
      <c r="A628" s="7" t="s">
        <v>1</v>
      </c>
      <c r="B628" s="28"/>
      <c r="C628" s="28"/>
      <c r="D628" s="28"/>
      <c r="F628" s="24"/>
      <c r="G628" s="24"/>
      <c r="H628" s="24"/>
      <c r="I628" s="24"/>
      <c r="J628" s="24"/>
      <c r="K628" s="24"/>
      <c r="L628" s="24"/>
      <c r="M628" s="25"/>
    </row>
    <row r="629" spans="1:13" x14ac:dyDescent="0.35">
      <c r="A629" s="8" t="s">
        <v>2</v>
      </c>
      <c r="B629" s="29"/>
      <c r="C629" s="29"/>
      <c r="D629" s="29"/>
      <c r="F629" s="24"/>
      <c r="G629" s="24"/>
      <c r="H629" s="24"/>
      <c r="I629" s="24"/>
      <c r="J629" s="24"/>
      <c r="K629" s="24"/>
      <c r="L629" s="24"/>
      <c r="M629" s="25"/>
    </row>
    <row r="630" spans="1:13" x14ac:dyDescent="0.35">
      <c r="A630" s="4"/>
      <c r="M630" s="5"/>
    </row>
    <row r="631" spans="1:13" x14ac:dyDescent="0.35">
      <c r="A631" s="4" t="s">
        <v>3</v>
      </c>
      <c r="E631" s="57"/>
      <c r="F631" s="57"/>
      <c r="G631" s="57"/>
      <c r="H631" s="57"/>
      <c r="I631" s="57"/>
      <c r="J631" s="57"/>
      <c r="K631" s="57"/>
      <c r="L631" s="57"/>
      <c r="M631" s="58"/>
    </row>
    <row r="632" spans="1:13" x14ac:dyDescent="0.35">
      <c r="A632" s="4"/>
      <c r="E632" s="57"/>
      <c r="F632" s="57"/>
      <c r="G632" s="57"/>
      <c r="H632" s="57"/>
      <c r="I632" s="57"/>
      <c r="J632" s="57"/>
      <c r="K632" s="57"/>
      <c r="L632" s="57"/>
      <c r="M632" s="58"/>
    </row>
    <row r="633" spans="1:13" x14ac:dyDescent="0.35">
      <c r="A633" s="4"/>
      <c r="E633" s="57"/>
      <c r="F633" s="57"/>
      <c r="G633" s="57"/>
      <c r="H633" s="57"/>
      <c r="I633" s="57"/>
      <c r="J633" s="57"/>
      <c r="K633" s="57"/>
      <c r="L633" s="57"/>
      <c r="M633" s="58"/>
    </row>
    <row r="634" spans="1:13" ht="15" thickBot="1" x14ac:dyDescent="0.4">
      <c r="A634" s="9"/>
      <c r="B634" s="34"/>
      <c r="C634" s="34"/>
      <c r="D634" s="34"/>
      <c r="E634" s="59"/>
      <c r="F634" s="59"/>
      <c r="G634" s="59"/>
      <c r="H634" s="59"/>
      <c r="I634" s="59"/>
      <c r="J634" s="59"/>
      <c r="K634" s="59"/>
      <c r="L634" s="59"/>
      <c r="M634" s="60"/>
    </row>
    <row r="636" spans="1:13" ht="15" thickBot="1" x14ac:dyDescent="0.4"/>
    <row r="637" spans="1:13" ht="21" x14ac:dyDescent="0.5">
      <c r="A637" s="23" t="s">
        <v>140</v>
      </c>
      <c r="B637" s="33"/>
      <c r="C637" s="33"/>
      <c r="D637" s="33"/>
      <c r="E637" s="2"/>
      <c r="F637" s="2" t="s">
        <v>4</v>
      </c>
      <c r="G637" s="2"/>
      <c r="H637" s="2" t="s">
        <v>67</v>
      </c>
      <c r="I637" s="2" t="s">
        <v>5</v>
      </c>
      <c r="J637" s="2" t="s">
        <v>6</v>
      </c>
      <c r="K637" s="2"/>
      <c r="L637" s="2" t="s">
        <v>7</v>
      </c>
      <c r="M637" s="3" t="s">
        <v>8</v>
      </c>
    </row>
    <row r="638" spans="1:13" x14ac:dyDescent="0.35">
      <c r="A638" s="4">
        <v>13</v>
      </c>
      <c r="M638" s="5"/>
    </row>
    <row r="639" spans="1:13" x14ac:dyDescent="0.35">
      <c r="A639" s="6" t="s">
        <v>0</v>
      </c>
      <c r="B639" s="27"/>
      <c r="C639" s="27"/>
      <c r="D639" s="27"/>
      <c r="F639" s="24"/>
      <c r="G639" s="24"/>
      <c r="H639" s="24"/>
      <c r="I639" s="24"/>
      <c r="J639" s="24"/>
      <c r="K639" s="24"/>
      <c r="L639" s="24"/>
      <c r="M639" s="25"/>
    </row>
    <row r="640" spans="1:13" x14ac:dyDescent="0.35">
      <c r="A640" s="7" t="s">
        <v>1</v>
      </c>
      <c r="B640" s="28"/>
      <c r="C640" s="28"/>
      <c r="D640" s="28"/>
      <c r="F640" s="24"/>
      <c r="G640" s="24"/>
      <c r="H640" s="24"/>
      <c r="I640" s="24"/>
      <c r="J640" s="24"/>
      <c r="K640" s="24"/>
      <c r="L640" s="24"/>
      <c r="M640" s="25"/>
    </row>
    <row r="641" spans="1:13" x14ac:dyDescent="0.35">
      <c r="A641" s="8" t="s">
        <v>2</v>
      </c>
      <c r="B641" s="29"/>
      <c r="C641" s="29"/>
      <c r="D641" s="29"/>
      <c r="F641" s="24"/>
      <c r="G641" s="24"/>
      <c r="H641" s="24"/>
      <c r="I641" s="24"/>
      <c r="J641" s="24"/>
      <c r="K641" s="24"/>
      <c r="L641" s="24"/>
      <c r="M641" s="25"/>
    </row>
    <row r="642" spans="1:13" x14ac:dyDescent="0.35">
      <c r="A642" s="4"/>
      <c r="M642" s="5"/>
    </row>
    <row r="643" spans="1:13" x14ac:dyDescent="0.35">
      <c r="A643" s="4" t="s">
        <v>3</v>
      </c>
      <c r="E643" s="57"/>
      <c r="F643" s="57"/>
      <c r="G643" s="57"/>
      <c r="H643" s="57"/>
      <c r="I643" s="57"/>
      <c r="J643" s="57"/>
      <c r="K643" s="57"/>
      <c r="L643" s="57"/>
      <c r="M643" s="58"/>
    </row>
    <row r="644" spans="1:13" x14ac:dyDescent="0.35">
      <c r="A644" s="4"/>
      <c r="E644" s="57"/>
      <c r="F644" s="57"/>
      <c r="G644" s="57"/>
      <c r="H644" s="57"/>
      <c r="I644" s="57"/>
      <c r="J644" s="57"/>
      <c r="K644" s="57"/>
      <c r="L644" s="57"/>
      <c r="M644" s="58"/>
    </row>
    <row r="645" spans="1:13" x14ac:dyDescent="0.35">
      <c r="A645" s="4"/>
      <c r="E645" s="57"/>
      <c r="F645" s="57"/>
      <c r="G645" s="57"/>
      <c r="H645" s="57"/>
      <c r="I645" s="57"/>
      <c r="J645" s="57"/>
      <c r="K645" s="57"/>
      <c r="L645" s="57"/>
      <c r="M645" s="58"/>
    </row>
    <row r="646" spans="1:13" ht="15" thickBot="1" x14ac:dyDescent="0.4">
      <c r="A646" s="9"/>
      <c r="B646" s="34"/>
      <c r="C646" s="34"/>
      <c r="D646" s="34"/>
      <c r="E646" s="59"/>
      <c r="F646" s="59"/>
      <c r="G646" s="59"/>
      <c r="H646" s="59"/>
      <c r="I646" s="59"/>
      <c r="J646" s="59"/>
      <c r="K646" s="59"/>
      <c r="L646" s="59"/>
      <c r="M646" s="60"/>
    </row>
    <row r="648" spans="1:13" ht="15" thickBot="1" x14ac:dyDescent="0.4"/>
    <row r="649" spans="1:13" ht="21" x14ac:dyDescent="0.5">
      <c r="A649" s="23" t="s">
        <v>141</v>
      </c>
      <c r="B649" s="33"/>
      <c r="C649" s="33"/>
      <c r="D649" s="33"/>
      <c r="E649" s="2"/>
      <c r="F649" s="2" t="s">
        <v>4</v>
      </c>
      <c r="G649" s="2"/>
      <c r="H649" s="2" t="s">
        <v>67</v>
      </c>
      <c r="I649" s="2" t="s">
        <v>5</v>
      </c>
      <c r="J649" s="2" t="s">
        <v>6</v>
      </c>
      <c r="K649" s="2"/>
      <c r="L649" s="2" t="s">
        <v>7</v>
      </c>
      <c r="M649" s="3" t="s">
        <v>8</v>
      </c>
    </row>
    <row r="650" spans="1:13" x14ac:dyDescent="0.35">
      <c r="A650" s="4">
        <v>13</v>
      </c>
      <c r="M650" s="5"/>
    </row>
    <row r="651" spans="1:13" x14ac:dyDescent="0.35">
      <c r="A651" s="6" t="s">
        <v>0</v>
      </c>
      <c r="B651" s="27"/>
      <c r="C651" s="27"/>
      <c r="D651" s="27"/>
      <c r="F651" s="24"/>
      <c r="G651" s="24"/>
      <c r="H651" s="24"/>
      <c r="I651" s="24"/>
      <c r="J651" s="24"/>
      <c r="K651" s="24"/>
      <c r="L651" s="24"/>
      <c r="M651" s="25"/>
    </row>
    <row r="652" spans="1:13" x14ac:dyDescent="0.35">
      <c r="A652" s="7" t="s">
        <v>1</v>
      </c>
      <c r="B652" s="28"/>
      <c r="C652" s="28"/>
      <c r="D652" s="28"/>
      <c r="F652" s="24"/>
      <c r="G652" s="24"/>
      <c r="H652" s="24"/>
      <c r="I652" s="24"/>
      <c r="J652" s="24"/>
      <c r="K652" s="24"/>
      <c r="L652" s="24"/>
      <c r="M652" s="25"/>
    </row>
    <row r="653" spans="1:13" x14ac:dyDescent="0.35">
      <c r="A653" s="8" t="s">
        <v>2</v>
      </c>
      <c r="B653" s="29"/>
      <c r="C653" s="29"/>
      <c r="D653" s="29"/>
      <c r="F653" s="24"/>
      <c r="G653" s="24"/>
      <c r="H653" s="24"/>
      <c r="I653" s="24"/>
      <c r="J653" s="24"/>
      <c r="K653" s="24"/>
      <c r="L653" s="24"/>
      <c r="M653" s="25"/>
    </row>
    <row r="654" spans="1:13" x14ac:dyDescent="0.35">
      <c r="A654" s="4"/>
      <c r="M654" s="5"/>
    </row>
    <row r="655" spans="1:13" x14ac:dyDescent="0.35">
      <c r="A655" s="4" t="s">
        <v>3</v>
      </c>
      <c r="E655" s="57"/>
      <c r="F655" s="57"/>
      <c r="G655" s="57"/>
      <c r="H655" s="57"/>
      <c r="I655" s="57"/>
      <c r="J655" s="57"/>
      <c r="K655" s="57"/>
      <c r="L655" s="57"/>
      <c r="M655" s="58"/>
    </row>
    <row r="656" spans="1:13" x14ac:dyDescent="0.35">
      <c r="A656" s="4"/>
      <c r="E656" s="57"/>
      <c r="F656" s="57"/>
      <c r="G656" s="57"/>
      <c r="H656" s="57"/>
      <c r="I656" s="57"/>
      <c r="J656" s="57"/>
      <c r="K656" s="57"/>
      <c r="L656" s="57"/>
      <c r="M656" s="58"/>
    </row>
    <row r="657" spans="1:13" x14ac:dyDescent="0.35">
      <c r="A657" s="4"/>
      <c r="E657" s="57"/>
      <c r="F657" s="57"/>
      <c r="G657" s="57"/>
      <c r="H657" s="57"/>
      <c r="I657" s="57"/>
      <c r="J657" s="57"/>
      <c r="K657" s="57"/>
      <c r="L657" s="57"/>
      <c r="M657" s="58"/>
    </row>
    <row r="658" spans="1:13" ht="15" thickBot="1" x14ac:dyDescent="0.4">
      <c r="A658" s="9"/>
      <c r="B658" s="34"/>
      <c r="C658" s="34"/>
      <c r="D658" s="34"/>
      <c r="E658" s="59"/>
      <c r="F658" s="59"/>
      <c r="G658" s="59"/>
      <c r="H658" s="59"/>
      <c r="I658" s="59"/>
      <c r="J658" s="59"/>
      <c r="K658" s="59"/>
      <c r="L658" s="59"/>
      <c r="M658" s="60"/>
    </row>
    <row r="660" spans="1:13" ht="15" thickBot="1" x14ac:dyDescent="0.4"/>
    <row r="661" spans="1:13" ht="21" x14ac:dyDescent="0.5">
      <c r="A661" s="11" t="s">
        <v>9</v>
      </c>
      <c r="B661" s="33"/>
      <c r="C661" s="33"/>
      <c r="D661" s="33"/>
      <c r="E661" s="2"/>
      <c r="F661" s="2" t="s">
        <v>4</v>
      </c>
      <c r="G661" s="2"/>
      <c r="H661" s="2" t="s">
        <v>67</v>
      </c>
      <c r="I661" s="2" t="s">
        <v>5</v>
      </c>
      <c r="J661" s="2" t="s">
        <v>6</v>
      </c>
      <c r="K661" s="2"/>
      <c r="L661" s="2" t="s">
        <v>7</v>
      </c>
      <c r="M661" s="3" t="s">
        <v>8</v>
      </c>
    </row>
    <row r="662" spans="1:13" x14ac:dyDescent="0.35">
      <c r="A662" s="4">
        <v>13</v>
      </c>
      <c r="M662" s="5"/>
    </row>
    <row r="663" spans="1:13" x14ac:dyDescent="0.35">
      <c r="A663" s="6" t="s">
        <v>0</v>
      </c>
      <c r="B663" s="27"/>
      <c r="C663" s="27"/>
      <c r="D663" s="27"/>
      <c r="M663" s="5"/>
    </row>
    <row r="664" spans="1:13" x14ac:dyDescent="0.35">
      <c r="A664" s="7" t="s">
        <v>1</v>
      </c>
      <c r="B664" s="28"/>
      <c r="C664" s="28"/>
      <c r="D664" s="28"/>
      <c r="M664" s="5"/>
    </row>
    <row r="665" spans="1:13" x14ac:dyDescent="0.35">
      <c r="A665" s="8" t="s">
        <v>2</v>
      </c>
      <c r="B665" s="29"/>
      <c r="C665" s="29"/>
      <c r="D665" s="29"/>
      <c r="M665" s="5"/>
    </row>
    <row r="666" spans="1:13" x14ac:dyDescent="0.35">
      <c r="A666" s="4"/>
      <c r="M666" s="5"/>
    </row>
    <row r="667" spans="1:13" x14ac:dyDescent="0.35">
      <c r="A667" s="4" t="s">
        <v>3</v>
      </c>
      <c r="E667" s="57"/>
      <c r="F667" s="57"/>
      <c r="G667" s="57"/>
      <c r="H667" s="57"/>
      <c r="I667" s="57"/>
      <c r="J667" s="57"/>
      <c r="K667" s="57"/>
      <c r="L667" s="57"/>
      <c r="M667" s="58"/>
    </row>
    <row r="668" spans="1:13" x14ac:dyDescent="0.35">
      <c r="A668" s="4"/>
      <c r="E668" s="57"/>
      <c r="F668" s="57"/>
      <c r="G668" s="57"/>
      <c r="H668" s="57"/>
      <c r="I668" s="57"/>
      <c r="J668" s="57"/>
      <c r="K668" s="57"/>
      <c r="L668" s="57"/>
      <c r="M668" s="58"/>
    </row>
    <row r="669" spans="1:13" x14ac:dyDescent="0.35">
      <c r="A669" s="4"/>
      <c r="E669" s="57"/>
      <c r="F669" s="57"/>
      <c r="G669" s="57"/>
      <c r="H669" s="57"/>
      <c r="I669" s="57"/>
      <c r="J669" s="57"/>
      <c r="K669" s="57"/>
      <c r="L669" s="57"/>
      <c r="M669" s="58"/>
    </row>
    <row r="670" spans="1:13" ht="15" thickBot="1" x14ac:dyDescent="0.4">
      <c r="A670" s="9"/>
      <c r="B670" s="34"/>
      <c r="C670" s="34"/>
      <c r="D670" s="34"/>
      <c r="E670" s="59"/>
      <c r="F670" s="59"/>
      <c r="G670" s="59"/>
      <c r="H670" s="59"/>
      <c r="I670" s="59"/>
      <c r="J670" s="59"/>
      <c r="K670" s="59"/>
      <c r="L670" s="59"/>
      <c r="M670" s="60"/>
    </row>
  </sheetData>
  <mergeCells count="58">
    <mergeCell ref="E403:M406"/>
    <mergeCell ref="E103:M106"/>
    <mergeCell ref="E31:M34"/>
    <mergeCell ref="E43:M46"/>
    <mergeCell ref="E55:M58"/>
    <mergeCell ref="E67:M70"/>
    <mergeCell ref="E91:M94"/>
    <mergeCell ref="E379:M382"/>
    <mergeCell ref="E391:M394"/>
    <mergeCell ref="E283:M286"/>
    <mergeCell ref="E151:M154"/>
    <mergeCell ref="E295:M298"/>
    <mergeCell ref="T7:AB10"/>
    <mergeCell ref="E247:M250"/>
    <mergeCell ref="E259:M262"/>
    <mergeCell ref="E271:M274"/>
    <mergeCell ref="E307:M310"/>
    <mergeCell ref="E199:M202"/>
    <mergeCell ref="E211:M214"/>
    <mergeCell ref="E223:M226"/>
    <mergeCell ref="E235:M238"/>
    <mergeCell ref="E7:M10"/>
    <mergeCell ref="E19:M22"/>
    <mergeCell ref="E79:M82"/>
    <mergeCell ref="T19:AB22"/>
    <mergeCell ref="T43:AB46"/>
    <mergeCell ref="E499:M502"/>
    <mergeCell ref="E115:M118"/>
    <mergeCell ref="E127:M130"/>
    <mergeCell ref="E331:M334"/>
    <mergeCell ref="E343:M346"/>
    <mergeCell ref="E355:M358"/>
    <mergeCell ref="E367:M370"/>
    <mergeCell ref="E319:M322"/>
    <mergeCell ref="E439:M442"/>
    <mergeCell ref="E139:M142"/>
    <mergeCell ref="E163:M166"/>
    <mergeCell ref="E463:M466"/>
    <mergeCell ref="E475:M478"/>
    <mergeCell ref="E487:M490"/>
    <mergeCell ref="E415:M418"/>
    <mergeCell ref="E427:M430"/>
    <mergeCell ref="E631:M634"/>
    <mergeCell ref="E643:M646"/>
    <mergeCell ref="E655:M658"/>
    <mergeCell ref="E667:M670"/>
    <mergeCell ref="E187:M190"/>
    <mergeCell ref="E571:M574"/>
    <mergeCell ref="E583:M586"/>
    <mergeCell ref="E595:M598"/>
    <mergeCell ref="E607:M610"/>
    <mergeCell ref="E619:M622"/>
    <mergeCell ref="E511:M514"/>
    <mergeCell ref="E523:M526"/>
    <mergeCell ref="E535:M538"/>
    <mergeCell ref="E547:M550"/>
    <mergeCell ref="E559:M562"/>
    <mergeCell ref="E451:M454"/>
  </mergeCells>
  <pageMargins left="0.7" right="0.7" top="0.75" bottom="0.75" header="0.3" footer="0.3"/>
  <pageSetup orientation="portrait" r:id="rId1"/>
  <colBreaks count="1" manualBreakCount="1">
    <brk id="20" max="39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30B6-9990-4A3E-B92F-4C63C32617BB}">
  <dimension ref="A2:R62"/>
  <sheetViews>
    <sheetView tabSelected="1" topLeftCell="A26" zoomScale="79" workbookViewId="0">
      <selection activeCell="I49" sqref="I49"/>
    </sheetView>
  </sheetViews>
  <sheetFormatPr defaultRowHeight="14.5" x14ac:dyDescent="0.35"/>
  <cols>
    <col min="1" max="1" width="9.7265625" customWidth="1"/>
    <col min="2" max="2" width="13.453125" bestFit="1" customWidth="1"/>
    <col min="4" max="4" width="16.81640625" customWidth="1"/>
    <col min="5" max="5" width="15.7265625" customWidth="1"/>
    <col min="7" max="7" width="16.453125" customWidth="1"/>
    <col min="8" max="8" width="11.54296875" customWidth="1"/>
    <col min="9" max="9" width="4.81640625" customWidth="1"/>
    <col min="10" max="10" width="17.54296875" customWidth="1"/>
    <col min="12" max="12" width="13.81640625" customWidth="1"/>
    <col min="14" max="14" width="14.26953125" customWidth="1"/>
    <col min="15" max="15" width="11.54296875" customWidth="1"/>
    <col min="17" max="18" width="10.1796875" bestFit="1" customWidth="1"/>
  </cols>
  <sheetData>
    <row r="2" spans="1:18" ht="21" x14ac:dyDescent="0.5">
      <c r="A2" s="50" t="s">
        <v>117</v>
      </c>
      <c r="B2" s="41" t="s">
        <v>162</v>
      </c>
      <c r="C2" s="41"/>
      <c r="D2" s="41" t="s">
        <v>158</v>
      </c>
      <c r="E2" s="41" t="s">
        <v>159</v>
      </c>
      <c r="F2" s="41"/>
      <c r="G2" s="41" t="s">
        <v>154</v>
      </c>
      <c r="H2" s="41" t="s">
        <v>68</v>
      </c>
      <c r="I2" s="41"/>
      <c r="J2" s="41" t="s">
        <v>164</v>
      </c>
      <c r="K2" s="41"/>
      <c r="L2" s="41" t="s">
        <v>67</v>
      </c>
      <c r="M2" s="41"/>
      <c r="N2" s="41" t="s">
        <v>155</v>
      </c>
      <c r="O2" s="41" t="s">
        <v>6</v>
      </c>
      <c r="P2" s="41"/>
      <c r="Q2" s="41" t="s">
        <v>157</v>
      </c>
      <c r="R2" s="42" t="s">
        <v>156</v>
      </c>
    </row>
    <row r="3" spans="1:18" x14ac:dyDescent="0.35">
      <c r="A3" s="43" t="s">
        <v>160</v>
      </c>
      <c r="B3">
        <v>9.4</v>
      </c>
      <c r="R3" s="44"/>
    </row>
    <row r="4" spans="1:18" x14ac:dyDescent="0.35">
      <c r="A4" s="45" t="s">
        <v>0</v>
      </c>
      <c r="B4" s="27"/>
      <c r="D4">
        <v>9.6</v>
      </c>
      <c r="E4">
        <v>10.8</v>
      </c>
      <c r="G4">
        <v>0.18</v>
      </c>
      <c r="J4" s="10" t="s">
        <v>59</v>
      </c>
      <c r="L4">
        <v>118</v>
      </c>
      <c r="N4">
        <v>23</v>
      </c>
      <c r="O4">
        <v>13</v>
      </c>
      <c r="Q4">
        <v>3</v>
      </c>
      <c r="R4" s="44">
        <v>3</v>
      </c>
    </row>
    <row r="5" spans="1:18" x14ac:dyDescent="0.35">
      <c r="A5" s="46" t="s">
        <v>1</v>
      </c>
      <c r="B5" s="53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2"/>
    </row>
    <row r="6" spans="1:18" x14ac:dyDescent="0.35">
      <c r="A6" s="43" t="s">
        <v>2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2"/>
    </row>
    <row r="7" spans="1:18" x14ac:dyDescent="0.35">
      <c r="A7" s="43"/>
      <c r="R7" s="44"/>
    </row>
    <row r="8" spans="1:18" x14ac:dyDescent="0.35">
      <c r="A8" s="47" t="s">
        <v>3</v>
      </c>
      <c r="B8" s="48"/>
      <c r="C8" s="48" t="s">
        <v>163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9"/>
    </row>
    <row r="11" spans="1:18" ht="21" x14ac:dyDescent="0.5">
      <c r="A11" s="50" t="s">
        <v>119</v>
      </c>
      <c r="B11" s="41" t="s">
        <v>162</v>
      </c>
      <c r="C11" s="41"/>
      <c r="D11" s="41" t="s">
        <v>158</v>
      </c>
      <c r="E11" s="41" t="s">
        <v>159</v>
      </c>
      <c r="F11" s="41"/>
      <c r="G11" s="41" t="s">
        <v>154</v>
      </c>
      <c r="H11" s="41" t="s">
        <v>68</v>
      </c>
      <c r="I11" s="41"/>
      <c r="J11" s="41" t="s">
        <v>164</v>
      </c>
      <c r="K11" s="41"/>
      <c r="L11" s="41" t="s">
        <v>67</v>
      </c>
      <c r="M11" s="41"/>
      <c r="N11" s="41" t="s">
        <v>155</v>
      </c>
      <c r="O11" s="41" t="s">
        <v>6</v>
      </c>
      <c r="P11" s="41"/>
      <c r="Q11" s="41" t="s">
        <v>157</v>
      </c>
      <c r="R11" s="42" t="s">
        <v>156</v>
      </c>
    </row>
    <row r="12" spans="1:18" x14ac:dyDescent="0.35">
      <c r="A12" s="43" t="s">
        <v>161</v>
      </c>
      <c r="B12" s="54">
        <v>7</v>
      </c>
      <c r="R12" s="44"/>
    </row>
    <row r="13" spans="1:18" x14ac:dyDescent="0.35">
      <c r="A13" s="45" t="s">
        <v>0</v>
      </c>
      <c r="B13" s="27"/>
      <c r="D13">
        <v>8.1</v>
      </c>
      <c r="E13">
        <v>9.9</v>
      </c>
      <c r="G13">
        <v>0.18</v>
      </c>
      <c r="J13" s="10" t="s">
        <v>53</v>
      </c>
      <c r="L13">
        <v>126</v>
      </c>
      <c r="N13">
        <v>65</v>
      </c>
      <c r="O13">
        <v>5</v>
      </c>
      <c r="Q13">
        <v>7</v>
      </c>
      <c r="R13" s="44">
        <v>8</v>
      </c>
    </row>
    <row r="14" spans="1:18" x14ac:dyDescent="0.35">
      <c r="A14" s="46" t="s">
        <v>1</v>
      </c>
      <c r="B14" s="53"/>
      <c r="D14">
        <v>5.4</v>
      </c>
      <c r="E14">
        <v>6.3</v>
      </c>
      <c r="G14">
        <v>0.12</v>
      </c>
      <c r="L14" s="55"/>
      <c r="M14" s="55"/>
      <c r="N14" s="55"/>
      <c r="O14" s="55"/>
      <c r="P14" s="55"/>
      <c r="Q14" s="55"/>
      <c r="R14" s="56"/>
    </row>
    <row r="15" spans="1:18" x14ac:dyDescent="0.35">
      <c r="A15" s="43" t="s">
        <v>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6"/>
    </row>
    <row r="16" spans="1:18" x14ac:dyDescent="0.35">
      <c r="A16" s="43"/>
      <c r="R16" s="44"/>
    </row>
    <row r="17" spans="1:18" x14ac:dyDescent="0.35">
      <c r="A17" s="47" t="s">
        <v>3</v>
      </c>
      <c r="B17" s="48"/>
      <c r="C17" s="48" t="s">
        <v>166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9"/>
    </row>
    <row r="20" spans="1:18" ht="21" x14ac:dyDescent="0.5">
      <c r="A20" s="50" t="s">
        <v>120</v>
      </c>
      <c r="B20" s="41" t="s">
        <v>162</v>
      </c>
      <c r="C20" s="41"/>
      <c r="D20" s="41" t="s">
        <v>158</v>
      </c>
      <c r="E20" s="41" t="s">
        <v>159</v>
      </c>
      <c r="F20" s="41"/>
      <c r="G20" s="41" t="s">
        <v>154</v>
      </c>
      <c r="H20" s="41" t="s">
        <v>68</v>
      </c>
      <c r="I20" s="41"/>
      <c r="J20" s="41" t="s">
        <v>164</v>
      </c>
      <c r="K20" s="41"/>
      <c r="L20" s="41" t="s">
        <v>67</v>
      </c>
      <c r="M20" s="41"/>
      <c r="N20" s="41" t="s">
        <v>155</v>
      </c>
      <c r="O20" s="41" t="s">
        <v>6</v>
      </c>
      <c r="P20" s="41"/>
      <c r="Q20" s="41" t="s">
        <v>157</v>
      </c>
      <c r="R20" s="42" t="s">
        <v>156</v>
      </c>
    </row>
    <row r="21" spans="1:18" x14ac:dyDescent="0.35">
      <c r="A21" s="43" t="s">
        <v>161</v>
      </c>
      <c r="B21" s="54">
        <v>7.3</v>
      </c>
      <c r="R21" s="44"/>
    </row>
    <row r="22" spans="1:18" x14ac:dyDescent="0.35">
      <c r="A22" s="45" t="s">
        <v>0</v>
      </c>
      <c r="B22" s="27"/>
      <c r="D22" s="54">
        <v>9</v>
      </c>
      <c r="E22">
        <v>9.9</v>
      </c>
      <c r="G22">
        <v>0.12</v>
      </c>
      <c r="J22" s="10" t="s">
        <v>165</v>
      </c>
      <c r="L22">
        <v>116</v>
      </c>
      <c r="N22">
        <v>49</v>
      </c>
      <c r="O22">
        <v>5</v>
      </c>
      <c r="Q22">
        <v>1</v>
      </c>
      <c r="R22" s="44">
        <v>3</v>
      </c>
    </row>
    <row r="23" spans="1:18" x14ac:dyDescent="0.35">
      <c r="A23" s="46" t="s">
        <v>1</v>
      </c>
      <c r="B23" s="53"/>
      <c r="D23">
        <v>4.5</v>
      </c>
      <c r="E23">
        <v>6.6</v>
      </c>
      <c r="G23">
        <v>0.18</v>
      </c>
      <c r="J23" s="10" t="s">
        <v>86</v>
      </c>
      <c r="L23">
        <v>119</v>
      </c>
      <c r="N23">
        <v>52</v>
      </c>
      <c r="O23">
        <v>4</v>
      </c>
      <c r="Q23">
        <v>3</v>
      </c>
      <c r="R23" s="44">
        <v>2</v>
      </c>
    </row>
    <row r="24" spans="1:18" x14ac:dyDescent="0.35">
      <c r="A24" s="43" t="s">
        <v>2</v>
      </c>
      <c r="J24" s="10" t="s">
        <v>72</v>
      </c>
      <c r="L24">
        <v>119</v>
      </c>
      <c r="N24">
        <v>54</v>
      </c>
      <c r="O24">
        <v>4</v>
      </c>
      <c r="Q24">
        <v>4</v>
      </c>
      <c r="R24" s="44">
        <v>2</v>
      </c>
    </row>
    <row r="25" spans="1:18" x14ac:dyDescent="0.35">
      <c r="A25" s="43"/>
      <c r="R25" s="44"/>
    </row>
    <row r="26" spans="1:18" x14ac:dyDescent="0.35">
      <c r="A26" s="47" t="s">
        <v>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9"/>
    </row>
    <row r="29" spans="1:18" ht="21" x14ac:dyDescent="0.5">
      <c r="A29" s="50" t="s">
        <v>121</v>
      </c>
      <c r="B29" s="41" t="s">
        <v>162</v>
      </c>
      <c r="C29" s="41"/>
      <c r="D29" s="41" t="s">
        <v>158</v>
      </c>
      <c r="E29" s="41" t="s">
        <v>159</v>
      </c>
      <c r="F29" s="41"/>
      <c r="G29" s="41" t="s">
        <v>154</v>
      </c>
      <c r="H29" s="41" t="s">
        <v>68</v>
      </c>
      <c r="I29" s="41"/>
      <c r="J29" s="41" t="s">
        <v>164</v>
      </c>
      <c r="K29" s="41"/>
      <c r="L29" s="41" t="s">
        <v>67</v>
      </c>
      <c r="M29" s="41"/>
      <c r="N29" s="41" t="s">
        <v>155</v>
      </c>
      <c r="O29" s="41" t="s">
        <v>6</v>
      </c>
      <c r="P29" s="41"/>
      <c r="Q29" s="41" t="s">
        <v>157</v>
      </c>
      <c r="R29" s="42" t="s">
        <v>156</v>
      </c>
    </row>
    <row r="30" spans="1:18" x14ac:dyDescent="0.35">
      <c r="A30" s="43" t="s">
        <v>160</v>
      </c>
      <c r="B30" s="54">
        <v>8.1999999999999993</v>
      </c>
      <c r="R30" s="44"/>
    </row>
    <row r="31" spans="1:18" x14ac:dyDescent="0.35">
      <c r="A31" s="45" t="s">
        <v>0</v>
      </c>
      <c r="B31" s="27"/>
      <c r="D31" s="54">
        <v>9</v>
      </c>
      <c r="E31">
        <v>9.3000000000000007</v>
      </c>
      <c r="G31">
        <v>0.12</v>
      </c>
      <c r="J31" s="10"/>
      <c r="R31" s="44"/>
    </row>
    <row r="32" spans="1:18" x14ac:dyDescent="0.35">
      <c r="A32" s="46" t="s">
        <v>1</v>
      </c>
      <c r="B32" s="53"/>
      <c r="D32">
        <v>7.2</v>
      </c>
      <c r="E32">
        <v>7.8</v>
      </c>
      <c r="G32">
        <v>0.21</v>
      </c>
      <c r="J32" s="10"/>
      <c r="R32" s="44"/>
    </row>
    <row r="33" spans="1:18" x14ac:dyDescent="0.35">
      <c r="A33" s="43" t="s">
        <v>2</v>
      </c>
      <c r="J33" s="10"/>
      <c r="R33" s="44"/>
    </row>
    <row r="34" spans="1:18" x14ac:dyDescent="0.35">
      <c r="A34" s="43"/>
      <c r="R34" s="44"/>
    </row>
    <row r="35" spans="1:18" x14ac:dyDescent="0.35">
      <c r="A35" s="47" t="s">
        <v>3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9"/>
    </row>
    <row r="38" spans="1:18" ht="21" x14ac:dyDescent="0.5">
      <c r="A38" s="50" t="s">
        <v>167</v>
      </c>
      <c r="B38" s="41" t="s">
        <v>162</v>
      </c>
      <c r="C38" s="41"/>
      <c r="D38" s="41" t="s">
        <v>158</v>
      </c>
      <c r="E38" s="41" t="s">
        <v>159</v>
      </c>
      <c r="F38" s="41"/>
      <c r="G38" s="41" t="s">
        <v>154</v>
      </c>
      <c r="H38" s="41" t="s">
        <v>68</v>
      </c>
      <c r="I38" s="41"/>
      <c r="J38" s="41" t="s">
        <v>164</v>
      </c>
      <c r="K38" s="41"/>
      <c r="L38" s="41" t="s">
        <v>67</v>
      </c>
      <c r="M38" s="41"/>
      <c r="N38" s="41" t="s">
        <v>155</v>
      </c>
      <c r="O38" s="41" t="s">
        <v>6</v>
      </c>
      <c r="P38" s="41"/>
      <c r="Q38" s="41" t="s">
        <v>157</v>
      </c>
      <c r="R38" s="42" t="s">
        <v>156</v>
      </c>
    </row>
    <row r="39" spans="1:18" x14ac:dyDescent="0.35">
      <c r="A39" s="43" t="s">
        <v>161</v>
      </c>
      <c r="B39" s="54">
        <v>9</v>
      </c>
      <c r="R39" s="44"/>
    </row>
    <row r="40" spans="1:18" x14ac:dyDescent="0.35">
      <c r="A40" s="45" t="s">
        <v>0</v>
      </c>
      <c r="B40" s="27"/>
      <c r="D40" s="54">
        <v>9.9</v>
      </c>
      <c r="E40">
        <v>10.8</v>
      </c>
      <c r="G40">
        <v>0.25</v>
      </c>
      <c r="J40" s="10" t="s">
        <v>169</v>
      </c>
      <c r="L40">
        <v>159</v>
      </c>
      <c r="N40">
        <v>31</v>
      </c>
      <c r="O40">
        <v>2</v>
      </c>
      <c r="Q40">
        <v>1</v>
      </c>
      <c r="R40" s="44">
        <v>1</v>
      </c>
    </row>
    <row r="41" spans="1:18" x14ac:dyDescent="0.35">
      <c r="A41" s="46" t="s">
        <v>1</v>
      </c>
      <c r="B41" s="53"/>
      <c r="D41">
        <v>7.5</v>
      </c>
      <c r="E41">
        <v>8.6999999999999993</v>
      </c>
      <c r="G41">
        <v>0.12</v>
      </c>
      <c r="J41" s="10"/>
      <c r="R41" s="44"/>
    </row>
    <row r="42" spans="1:18" x14ac:dyDescent="0.35">
      <c r="A42" s="43" t="s">
        <v>2</v>
      </c>
      <c r="J42" s="10"/>
      <c r="R42" s="44"/>
    </row>
    <row r="43" spans="1:18" x14ac:dyDescent="0.35">
      <c r="A43" s="43"/>
      <c r="R43" s="44"/>
    </row>
    <row r="44" spans="1:18" x14ac:dyDescent="0.35">
      <c r="A44" s="47" t="s">
        <v>3</v>
      </c>
      <c r="B44" s="48"/>
      <c r="C44" s="48" t="s">
        <v>168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9"/>
    </row>
    <row r="47" spans="1:18" ht="21" x14ac:dyDescent="0.5">
      <c r="A47" s="50" t="s">
        <v>170</v>
      </c>
      <c r="B47" s="41" t="s">
        <v>162</v>
      </c>
      <c r="C47" s="41"/>
      <c r="D47" s="41" t="s">
        <v>158</v>
      </c>
      <c r="E47" s="41" t="s">
        <v>159</v>
      </c>
      <c r="F47" s="41"/>
      <c r="G47" s="41" t="s">
        <v>154</v>
      </c>
      <c r="H47" s="41" t="s">
        <v>68</v>
      </c>
      <c r="I47" s="41"/>
      <c r="J47" s="41" t="s">
        <v>164</v>
      </c>
      <c r="K47" s="41"/>
      <c r="L47" s="41" t="s">
        <v>67</v>
      </c>
      <c r="M47" s="41"/>
      <c r="N47" s="41" t="s">
        <v>155</v>
      </c>
      <c r="O47" s="41" t="s">
        <v>6</v>
      </c>
      <c r="P47" s="41"/>
      <c r="Q47" s="41" t="s">
        <v>157</v>
      </c>
      <c r="R47" s="42" t="s">
        <v>156</v>
      </c>
    </row>
    <row r="48" spans="1:18" x14ac:dyDescent="0.35">
      <c r="A48" s="43" t="s">
        <v>161</v>
      </c>
      <c r="B48" s="54">
        <v>6</v>
      </c>
      <c r="R48" s="44"/>
    </row>
    <row r="49" spans="1:18" x14ac:dyDescent="0.35">
      <c r="A49" s="45" t="s">
        <v>0</v>
      </c>
      <c r="B49" s="27"/>
      <c r="D49" s="54">
        <v>7.2</v>
      </c>
      <c r="E49">
        <v>7.8</v>
      </c>
      <c r="G49">
        <v>0.1</v>
      </c>
      <c r="J49" s="10"/>
      <c r="R49" s="44"/>
    </row>
    <row r="50" spans="1:18" x14ac:dyDescent="0.35">
      <c r="A50" s="46" t="s">
        <v>1</v>
      </c>
      <c r="B50" s="53"/>
      <c r="D50">
        <v>3.6</v>
      </c>
      <c r="E50">
        <v>4.8</v>
      </c>
      <c r="G50">
        <v>0.35</v>
      </c>
      <c r="J50" s="10"/>
      <c r="R50" s="44"/>
    </row>
    <row r="51" spans="1:18" x14ac:dyDescent="0.35">
      <c r="A51" s="43" t="s">
        <v>2</v>
      </c>
      <c r="J51" s="10"/>
      <c r="R51" s="44"/>
    </row>
    <row r="52" spans="1:18" x14ac:dyDescent="0.35">
      <c r="A52" s="43"/>
      <c r="R52" s="44"/>
    </row>
    <row r="53" spans="1:18" x14ac:dyDescent="0.35">
      <c r="A53" s="47" t="s">
        <v>3</v>
      </c>
      <c r="B53" s="48"/>
      <c r="C53" s="48" t="s">
        <v>171</v>
      </c>
      <c r="D53" s="48"/>
      <c r="E53" s="48"/>
      <c r="F53" s="48"/>
      <c r="G53" s="48" t="s">
        <v>172</v>
      </c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9"/>
    </row>
    <row r="56" spans="1:18" ht="21" x14ac:dyDescent="0.5">
      <c r="A56" s="50" t="s">
        <v>117</v>
      </c>
      <c r="B56" s="41" t="s">
        <v>162</v>
      </c>
      <c r="C56" s="41"/>
      <c r="D56" s="41" t="s">
        <v>158</v>
      </c>
      <c r="E56" s="41" t="s">
        <v>159</v>
      </c>
      <c r="F56" s="41"/>
      <c r="G56" s="41" t="s">
        <v>154</v>
      </c>
      <c r="H56" s="41" t="s">
        <v>68</v>
      </c>
      <c r="I56" s="41"/>
      <c r="J56" s="41" t="s">
        <v>164</v>
      </c>
      <c r="K56" s="41"/>
      <c r="L56" s="41" t="s">
        <v>67</v>
      </c>
      <c r="M56" s="41"/>
      <c r="N56" s="41" t="s">
        <v>155</v>
      </c>
      <c r="O56" s="41" t="s">
        <v>6</v>
      </c>
      <c r="P56" s="41"/>
      <c r="Q56" s="41" t="s">
        <v>157</v>
      </c>
      <c r="R56" s="42" t="s">
        <v>156</v>
      </c>
    </row>
    <row r="57" spans="1:18" x14ac:dyDescent="0.35">
      <c r="A57" s="43" t="s">
        <v>161</v>
      </c>
      <c r="B57" s="54"/>
      <c r="R57" s="44"/>
    </row>
    <row r="58" spans="1:18" x14ac:dyDescent="0.35">
      <c r="A58" s="45" t="s">
        <v>0</v>
      </c>
      <c r="B58" s="27"/>
      <c r="D58" s="54"/>
      <c r="J58" s="10"/>
      <c r="R58" s="44"/>
    </row>
    <row r="59" spans="1:18" x14ac:dyDescent="0.35">
      <c r="A59" s="46" t="s">
        <v>1</v>
      </c>
      <c r="B59" s="53"/>
      <c r="J59" s="10"/>
      <c r="R59" s="44"/>
    </row>
    <row r="60" spans="1:18" x14ac:dyDescent="0.35">
      <c r="A60" s="43" t="s">
        <v>2</v>
      </c>
      <c r="J60" s="10"/>
      <c r="R60" s="44"/>
    </row>
    <row r="61" spans="1:18" x14ac:dyDescent="0.35">
      <c r="A61" s="43"/>
      <c r="R61" s="44"/>
    </row>
    <row r="62" spans="1:18" x14ac:dyDescent="0.35">
      <c r="A62" s="47" t="s">
        <v>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9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05BA-E8B9-409F-865C-DE165358D7A3}">
  <dimension ref="A1:N22"/>
  <sheetViews>
    <sheetView workbookViewId="0">
      <selection activeCell="F16" sqref="F16"/>
    </sheetView>
  </sheetViews>
  <sheetFormatPr defaultRowHeight="14.5" x14ac:dyDescent="0.35"/>
  <cols>
    <col min="1" max="1" width="13.54296875" customWidth="1"/>
    <col min="2" max="2" width="7.1796875" customWidth="1"/>
    <col min="3" max="3" width="17.453125" customWidth="1"/>
    <col min="4" max="4" width="13.54296875" customWidth="1"/>
    <col min="5" max="5" width="7.26953125" customWidth="1"/>
    <col min="6" max="6" width="15.81640625" bestFit="1" customWidth="1"/>
    <col min="7" max="7" width="15.81640625" customWidth="1"/>
    <col min="8" max="8" width="14.1796875" customWidth="1"/>
    <col min="9" max="9" width="12.7265625" customWidth="1"/>
    <col min="10" max="10" width="13.453125" customWidth="1"/>
  </cols>
  <sheetData>
    <row r="1" spans="1:14" ht="21" x14ac:dyDescent="0.5">
      <c r="A1" s="40" t="s">
        <v>9</v>
      </c>
      <c r="B1" s="33"/>
      <c r="C1" s="37" t="s">
        <v>69</v>
      </c>
      <c r="D1" s="37" t="s">
        <v>68</v>
      </c>
      <c r="E1" s="2"/>
      <c r="F1" s="2" t="s">
        <v>4</v>
      </c>
      <c r="G1" s="2"/>
      <c r="H1" s="2" t="s">
        <v>67</v>
      </c>
      <c r="I1" s="2" t="s">
        <v>5</v>
      </c>
      <c r="J1" s="2" t="s">
        <v>6</v>
      </c>
      <c r="K1" s="2"/>
      <c r="L1" s="2" t="s">
        <v>7</v>
      </c>
      <c r="M1" s="3" t="s">
        <v>8</v>
      </c>
    </row>
    <row r="2" spans="1:14" x14ac:dyDescent="0.35">
      <c r="A2" s="4">
        <v>13</v>
      </c>
      <c r="M2" s="5"/>
    </row>
    <row r="3" spans="1:14" x14ac:dyDescent="0.35">
      <c r="A3" s="6" t="s">
        <v>0</v>
      </c>
      <c r="B3" s="27"/>
      <c r="C3" s="27">
        <v>0.18</v>
      </c>
      <c r="D3" s="27"/>
      <c r="F3" s="10" t="s">
        <v>59</v>
      </c>
      <c r="G3" s="10"/>
      <c r="H3">
        <v>118</v>
      </c>
      <c r="I3">
        <v>23</v>
      </c>
      <c r="J3">
        <v>13</v>
      </c>
      <c r="L3">
        <v>3</v>
      </c>
      <c r="M3" s="5">
        <v>3</v>
      </c>
    </row>
    <row r="4" spans="1:14" x14ac:dyDescent="0.35">
      <c r="A4" s="7" t="s">
        <v>1</v>
      </c>
      <c r="B4" s="28"/>
      <c r="C4" s="28"/>
      <c r="D4" s="28"/>
      <c r="F4" s="12"/>
      <c r="G4" s="12"/>
      <c r="H4" s="12"/>
      <c r="I4" s="12"/>
      <c r="J4" s="12"/>
      <c r="K4" s="12"/>
      <c r="L4" s="12"/>
      <c r="M4" s="13"/>
    </row>
    <row r="5" spans="1:14" x14ac:dyDescent="0.35">
      <c r="A5" s="8" t="s">
        <v>2</v>
      </c>
      <c r="B5" s="29"/>
      <c r="C5" s="29"/>
      <c r="D5" s="29"/>
      <c r="F5" s="12"/>
      <c r="G5" s="12"/>
      <c r="H5" s="12"/>
      <c r="I5" s="12"/>
      <c r="J5" s="12"/>
      <c r="K5" s="12"/>
      <c r="L5" s="12"/>
      <c r="M5" s="13"/>
      <c r="N5" t="s">
        <v>0</v>
      </c>
    </row>
    <row r="6" spans="1:14" x14ac:dyDescent="0.35">
      <c r="A6" s="4"/>
      <c r="M6" s="5"/>
      <c r="N6" t="s">
        <v>150</v>
      </c>
    </row>
    <row r="7" spans="1:14" x14ac:dyDescent="0.35">
      <c r="A7" s="4" t="s">
        <v>3</v>
      </c>
      <c r="E7" s="61"/>
      <c r="F7" s="61"/>
      <c r="G7" s="61"/>
      <c r="H7" s="61"/>
      <c r="I7" s="61"/>
      <c r="J7" s="61"/>
      <c r="K7" s="61"/>
      <c r="L7" s="61"/>
      <c r="M7" s="62"/>
    </row>
    <row r="8" spans="1:14" x14ac:dyDescent="0.35">
      <c r="A8" s="4"/>
      <c r="E8" s="61"/>
      <c r="F8" s="61"/>
      <c r="G8" s="61"/>
      <c r="H8" s="61"/>
      <c r="I8" s="61"/>
      <c r="J8" s="61"/>
      <c r="K8" s="61"/>
      <c r="L8" s="61"/>
      <c r="M8" s="62"/>
    </row>
    <row r="9" spans="1:14" x14ac:dyDescent="0.35">
      <c r="A9" s="4"/>
      <c r="E9" s="61"/>
      <c r="F9" s="61"/>
      <c r="G9" s="61"/>
      <c r="H9" s="61"/>
      <c r="I9" s="61"/>
      <c r="J9" s="61"/>
      <c r="K9" s="61"/>
      <c r="L9" s="61"/>
      <c r="M9" s="62"/>
    </row>
    <row r="10" spans="1:14" ht="15" thickBot="1" x14ac:dyDescent="0.4">
      <c r="A10" s="9"/>
      <c r="B10" s="34"/>
      <c r="C10" s="34"/>
      <c r="D10" s="34"/>
      <c r="E10" s="63"/>
      <c r="F10" s="63"/>
      <c r="G10" s="63"/>
      <c r="H10" s="63"/>
      <c r="I10" s="63"/>
      <c r="J10" s="63"/>
      <c r="K10" s="63"/>
      <c r="L10" s="63"/>
      <c r="M10" s="64"/>
    </row>
    <row r="12" spans="1:14" ht="15" thickBot="1" x14ac:dyDescent="0.4"/>
    <row r="13" spans="1:14" ht="21" x14ac:dyDescent="0.5">
      <c r="A13" s="40" t="s">
        <v>13</v>
      </c>
      <c r="B13" s="33"/>
      <c r="C13" s="33"/>
      <c r="D13" s="33"/>
      <c r="E13" s="2"/>
      <c r="F13" s="2" t="s">
        <v>4</v>
      </c>
      <c r="G13" s="2"/>
      <c r="H13" s="2" t="s">
        <v>67</v>
      </c>
      <c r="I13" s="2" t="s">
        <v>5</v>
      </c>
      <c r="J13" s="2" t="s">
        <v>6</v>
      </c>
      <c r="K13" s="2"/>
      <c r="L13" s="2" t="s">
        <v>7</v>
      </c>
      <c r="M13" s="3" t="s">
        <v>8</v>
      </c>
    </row>
    <row r="14" spans="1:14" x14ac:dyDescent="0.35">
      <c r="A14" s="4">
        <v>13</v>
      </c>
      <c r="M14" s="5"/>
      <c r="N14" t="s">
        <v>151</v>
      </c>
    </row>
    <row r="15" spans="1:14" x14ac:dyDescent="0.35">
      <c r="A15" s="6" t="s">
        <v>0</v>
      </c>
      <c r="B15" s="27"/>
      <c r="C15" s="27"/>
      <c r="D15" s="27"/>
      <c r="F15" s="10"/>
      <c r="G15" s="10"/>
      <c r="M15" s="5"/>
      <c r="N15">
        <v>8.1999999999999993</v>
      </c>
    </row>
    <row r="16" spans="1:14" x14ac:dyDescent="0.35">
      <c r="A16" s="7" t="s">
        <v>1</v>
      </c>
      <c r="B16" s="28"/>
      <c r="C16" s="28">
        <v>0.21</v>
      </c>
      <c r="D16" s="28"/>
      <c r="F16" s="10"/>
      <c r="G16" s="10"/>
      <c r="M16" s="5"/>
    </row>
    <row r="17" spans="1:14" x14ac:dyDescent="0.35">
      <c r="A17" s="8" t="s">
        <v>2</v>
      </c>
      <c r="B17" s="29"/>
      <c r="C17" s="29"/>
      <c r="D17" s="29"/>
      <c r="F17" s="10"/>
      <c r="G17" s="10"/>
      <c r="M17" s="5"/>
      <c r="N17" t="s">
        <v>1</v>
      </c>
    </row>
    <row r="18" spans="1:14" x14ac:dyDescent="0.35">
      <c r="A18" s="4"/>
      <c r="M18" s="5"/>
      <c r="N18" t="s">
        <v>152</v>
      </c>
    </row>
    <row r="19" spans="1:14" x14ac:dyDescent="0.35">
      <c r="A19" s="4" t="s">
        <v>3</v>
      </c>
      <c r="E19" s="61"/>
      <c r="F19" s="61"/>
      <c r="G19" s="61"/>
      <c r="H19" s="61"/>
      <c r="I19" s="61"/>
      <c r="J19" s="61"/>
      <c r="K19" s="61"/>
      <c r="L19" s="61"/>
      <c r="M19" s="62"/>
    </row>
    <row r="20" spans="1:14" x14ac:dyDescent="0.35">
      <c r="A20" s="4"/>
      <c r="E20" s="61"/>
      <c r="F20" s="61"/>
      <c r="G20" s="61"/>
      <c r="H20" s="61"/>
      <c r="I20" s="61"/>
      <c r="J20" s="61"/>
      <c r="K20" s="61"/>
      <c r="L20" s="61"/>
      <c r="M20" s="62"/>
      <c r="N20" t="s">
        <v>0</v>
      </c>
    </row>
    <row r="21" spans="1:14" x14ac:dyDescent="0.35">
      <c r="A21" s="4"/>
      <c r="E21" s="61"/>
      <c r="F21" s="61"/>
      <c r="G21" s="61"/>
      <c r="H21" s="61"/>
      <c r="I21" s="61"/>
      <c r="J21" s="61"/>
      <c r="K21" s="61"/>
      <c r="L21" s="61"/>
      <c r="M21" s="62"/>
      <c r="N21" t="s">
        <v>153</v>
      </c>
    </row>
    <row r="22" spans="1:14" ht="15" thickBot="1" x14ac:dyDescent="0.4">
      <c r="A22" s="9"/>
      <c r="B22" s="34"/>
      <c r="C22" s="34"/>
      <c r="D22" s="34"/>
      <c r="E22" s="63"/>
      <c r="F22" s="63"/>
      <c r="G22" s="63"/>
      <c r="H22" s="63"/>
      <c r="I22" s="63"/>
      <c r="J22" s="63"/>
      <c r="K22" s="63"/>
      <c r="L22" s="63"/>
      <c r="M22" s="64"/>
    </row>
  </sheetData>
  <mergeCells count="2">
    <mergeCell ref="E7:M10"/>
    <mergeCell ref="E19:M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Final Measurements</vt:lpstr>
      <vt:lpstr>Robust-1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Ulsh</dc:creator>
  <cp:lastModifiedBy>Wyatt Ulsh</cp:lastModifiedBy>
  <dcterms:created xsi:type="dcterms:W3CDTF">2015-06-05T18:17:20Z</dcterms:created>
  <dcterms:modified xsi:type="dcterms:W3CDTF">2026-02-25T04:34:55Z</dcterms:modified>
</cp:coreProperties>
</file>